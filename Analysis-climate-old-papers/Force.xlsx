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xtendo/Documents/"/>
    </mc:Choice>
  </mc:AlternateContent>
  <xr:revisionPtr revIDLastSave="0" documentId="8_{899A0D18-B5CB-0B4B-AF5B-466CAE0D6384}" xr6:coauthVersionLast="47" xr6:coauthVersionMax="47" xr10:uidLastSave="{00000000-0000-0000-0000-000000000000}"/>
  <bookViews>
    <workbookView xWindow="380" yWindow="500" windowWidth="28040" windowHeight="16300" xr2:uid="{CFDDB64D-94EE-5F4B-8C46-39ED41D662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9" i="1" l="1"/>
  <c r="F178" i="1"/>
  <c r="F136" i="1"/>
  <c r="F135" i="1"/>
  <c r="F134" i="1"/>
  <c r="E120" i="1"/>
  <c r="E121" i="1"/>
  <c r="E119" i="1"/>
  <c r="E113" i="1"/>
  <c r="E112" i="1"/>
  <c r="E111" i="1"/>
  <c r="E110" i="1"/>
  <c r="E109" i="1"/>
  <c r="E108" i="1"/>
  <c r="E107" i="1"/>
  <c r="E91" i="1"/>
  <c r="E90" i="1"/>
  <c r="E77" i="1"/>
  <c r="E76" i="1"/>
  <c r="E75" i="1"/>
  <c r="E74" i="1"/>
  <c r="F47" i="1"/>
  <c r="F24" i="1"/>
  <c r="F23" i="1"/>
  <c r="F22" i="1"/>
  <c r="F18" i="1"/>
  <c r="F17" i="1"/>
  <c r="F16" i="1"/>
  <c r="F15" i="1"/>
</calcChain>
</file>

<file path=xl/sharedStrings.xml><?xml version="1.0" encoding="utf-8"?>
<sst xmlns="http://schemas.openxmlformats.org/spreadsheetml/2006/main" count="519" uniqueCount="89">
  <si>
    <t>Reference (authors, date, journal)</t>
  </si>
  <si>
    <t>Location (country)</t>
  </si>
  <si>
    <t>Lower bound of age</t>
  </si>
  <si>
    <t>Upper bound of age</t>
  </si>
  <si>
    <t>Number of people seropositive</t>
  </si>
  <si>
    <t>Number of people tested</t>
  </si>
  <si>
    <t>Somalia</t>
  </si>
  <si>
    <t>Nigeria</t>
  </si>
  <si>
    <t>Benin</t>
  </si>
  <si>
    <t>Tanzania</t>
  </si>
  <si>
    <t>Morocco</t>
  </si>
  <si>
    <t>Ethiopia</t>
  </si>
  <si>
    <t>Ghana</t>
  </si>
  <si>
    <t>Algeria</t>
  </si>
  <si>
    <t>Namibia</t>
  </si>
  <si>
    <t>Eritrea</t>
  </si>
  <si>
    <t>Cameroon</t>
  </si>
  <si>
    <t>Egypt</t>
  </si>
  <si>
    <t>Sudan</t>
  </si>
  <si>
    <t>Gabon</t>
  </si>
  <si>
    <t>Zambia</t>
  </si>
  <si>
    <t>Rwanda</t>
  </si>
  <si>
    <t>Burkina Faso</t>
  </si>
  <si>
    <t>Congo</t>
  </si>
  <si>
    <t>Mozambique</t>
  </si>
  <si>
    <t>Danbrum M et al., 2022, Plos One</t>
  </si>
  <si>
    <t>Okojokwo O et al., 2023, Microbes and Infectious Diseases</t>
  </si>
  <si>
    <t>Hassan SA et al., 2023, Acta Tropica</t>
  </si>
  <si>
    <t>Mohammed WM et al., 2018</t>
  </si>
  <si>
    <t>Elichilia R Shao et al., 2015</t>
  </si>
  <si>
    <t>Abdel-Raouff M et al., 2014</t>
  </si>
  <si>
    <t>Lushina M et al., 2022, East African Health Research Journal</t>
  </si>
  <si>
    <t>Akubuilo AS et al., 2020, Open Journal of Bioscience Research</t>
  </si>
  <si>
    <t>Khames M et al., 2020, Annals of Parasitology</t>
  </si>
  <si>
    <t xml:space="preserve">Hoummadi L et al., 2020, African health sciences </t>
  </si>
  <si>
    <t>Singh B et al., 2021, Infectious Diseases in Obstetrics and Gynecology</t>
  </si>
  <si>
    <t>Adunga B et al., 2021, Infection and Drug Resistanc</t>
  </si>
  <si>
    <t>Laboudi M et al., 2021, Tropical Medicine and Health</t>
  </si>
  <si>
    <t>Tecle AS et al., 2020, International Journal of Medical Parisitology &amp; Epidemiology Sciences</t>
  </si>
  <si>
    <t>Zakari M et al., 2020, Malawi Medical Journa</t>
  </si>
  <si>
    <t>Van der Colf BE et al., 2020, Southern African Journal of Infectious Diseases</t>
  </si>
  <si>
    <t>Mulugeta et al., 2020, Infectious Diseases: Research and Treatment 13</t>
  </si>
  <si>
    <t>Nguemaïm NF et al., 2020, African Journal of Clinical and Experimental Microbiology</t>
  </si>
  <si>
    <t>Abdelbaset AE et al., 2020, eterinary World</t>
  </si>
  <si>
    <t>Fenta., 2019, BMC infectious diseases</t>
  </si>
  <si>
    <t>Teweldmedihin et al., 2019, BMC infectious diseases</t>
  </si>
  <si>
    <t>Mirambo MM et al., 2019, African Health Sciences</t>
  </si>
  <si>
    <t>Todjom FG et al. 2019, African Journal of Clinical and Experimental Microbiology</t>
  </si>
  <si>
    <t>Mabeku LB et al., 2018,  Journal of Scientific Research and Reports</t>
  </si>
  <si>
    <t>Jula et al., 2018, Revista Española de Quimioterapia</t>
  </si>
  <si>
    <t>Adeniyi OT et al., 2018, Journal of Infectious Diseases and Immunity</t>
  </si>
  <si>
    <t>Hafez Hassanain et al., 2018, Pakistan Journal of Biological Sciences: PJBS</t>
  </si>
  <si>
    <t>Dairo MD et al., 2018, African Journal of Biomedical Research</t>
  </si>
  <si>
    <t>Paul et al., 2018, Tropical medicine and health</t>
  </si>
  <si>
    <t>Tlamcani Z et al., 2017, Acta Medica International</t>
  </si>
  <si>
    <t>Pegha Moukandija et al., 2017, BMC Pregnancy and Childbirth</t>
  </si>
  <si>
    <t>El-Shqanqery HE et al., 2017, Egyptian Society of Parasitology</t>
  </si>
  <si>
    <t>Frimpong et al., 2017, BMC infectious diseases</t>
  </si>
  <si>
    <t>Ballah F et al., 2017, Asian Journal of Medicine and Health</t>
  </si>
  <si>
    <t>Murebwayire E et al., 2017, Tanzania Journal of Health Research</t>
  </si>
  <si>
    <t xml:space="preserve">Saajan AM et al., 2017, The East African Health Research Journal </t>
  </si>
  <si>
    <t>Bamba et al., 2017, BMC infectious diseases</t>
  </si>
  <si>
    <t>Negussie A et al., 2017, Int J Trop Dis Health</t>
  </si>
  <si>
    <t>Yohanes T et al., 2017, Transl Biomed</t>
  </si>
  <si>
    <t xml:space="preserve">Negero et al., 2017, International Journal of Infectious Diseases </t>
  </si>
  <si>
    <t>Völker et al., 2017, BMC pregnancy and childbirth</t>
  </si>
  <si>
    <t>Oboro IL et al., 2016, Nigerian Health Journal</t>
  </si>
  <si>
    <t>Abamecha er al., 2016, BMC infectious diseases</t>
  </si>
  <si>
    <t>Ayi I et al., 2016, Tropical medicine and health</t>
  </si>
  <si>
    <t>Kwofie KD et al., 2016, Maternal and child health journal</t>
  </si>
  <si>
    <t>Awoke K et al., 2015, Asian Pacific journal of tropical medicine</t>
  </si>
  <si>
    <t>Nasir IA et al., 2015, Journal of Medical Sciences</t>
  </si>
  <si>
    <t>Gelaye et al., 2015, International Journal of Infectious Diseases</t>
  </si>
  <si>
    <t>Agmas et al., 2015, BMC research notes</t>
  </si>
  <si>
    <t>Doudou et al., 2014, Asian Pacific journal of tropical biomedicine</t>
  </si>
  <si>
    <t>Endris M et al., 2014, Iranian journal of parasitology</t>
  </si>
  <si>
    <t>Bamba S et al., 2014, Pakistan Journal of Biological Sciences</t>
  </si>
  <si>
    <t>Oyinloye SO et al., 2014, African Journal of Clinical and Experimental Microbiology</t>
  </si>
  <si>
    <t>Mwambe et al., 2013, Parasites &amp; vectors</t>
  </si>
  <si>
    <t>El Deeb et al., 2012, Acta Tropica</t>
  </si>
  <si>
    <t>Zemene et al., 2012, BMC infectious diseases</t>
  </si>
  <si>
    <t>Linguissi et al., 2012, Asian Pacific journal of tropical medicine</t>
  </si>
  <si>
    <t xml:space="preserve">Satti, A.B et al., 2011, Sudan Medical Laboratory Journal </t>
  </si>
  <si>
    <t>Njunda AL et al., 2011, International Journal of Health Research</t>
  </si>
  <si>
    <t>Sitoe et al., 2010, Revista do Instituto de Medicina Tropical de São Paulo</t>
  </si>
  <si>
    <t>N/A</t>
  </si>
  <si>
    <t xml:space="preserve"> N/A</t>
  </si>
  <si>
    <t xml:space="preserve">N/A </t>
  </si>
  <si>
    <t xml:space="preserve">There are values but they are idnetifying two different antibodies and do not account for if the two different antibodies are present in the same individuals not giving us a concrete answer for the number of seropositive individuals.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</si>
</sst>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3D24-520B-B04D-B0EC-94E746C0A159}">
  <dimension ref="A1:G215"/>
  <sheetViews>
    <sheetView tabSelected="1" topLeftCell="A190" zoomScale="93" workbookViewId="0">
      <selection activeCell="C209" sqref="C209"/>
    </sheetView>
  </sheetViews>
  <sheetFormatPr baseColWidth="10" defaultRowHeight="16" x14ac:dyDescent="0.2"/>
  <cols>
    <col min="1" max="1" width="29.6640625" customWidth="1"/>
    <col min="2" max="2" width="15.5" customWidth="1"/>
    <col min="3" max="3" width="18.1640625" customWidth="1"/>
    <col min="4" max="4" width="18.6640625" customWidth="1"/>
    <col min="5" max="5" width="26" customWidth="1"/>
    <col min="6" max="6" width="20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4" t="s">
        <v>27</v>
      </c>
      <c r="B2" t="s">
        <v>6</v>
      </c>
      <c r="C2" s="1">
        <v>16</v>
      </c>
      <c r="D2" s="1">
        <v>25</v>
      </c>
      <c r="E2" s="1">
        <v>88</v>
      </c>
      <c r="F2" s="1">
        <v>202</v>
      </c>
    </row>
    <row r="3" spans="1:6" x14ac:dyDescent="0.2">
      <c r="A3" t="s">
        <v>27</v>
      </c>
      <c r="B3" t="s">
        <v>6</v>
      </c>
      <c r="C3" s="1">
        <v>26</v>
      </c>
      <c r="D3" s="1">
        <v>35</v>
      </c>
      <c r="E3" s="1">
        <v>85</v>
      </c>
      <c r="F3" s="1">
        <v>180</v>
      </c>
    </row>
    <row r="4" spans="1:6" x14ac:dyDescent="0.2">
      <c r="A4" t="s">
        <v>27</v>
      </c>
      <c r="B4" t="s">
        <v>6</v>
      </c>
      <c r="C4">
        <v>35</v>
      </c>
      <c r="D4">
        <v>45</v>
      </c>
      <c r="E4">
        <v>9</v>
      </c>
      <c r="F4">
        <v>21</v>
      </c>
    </row>
    <row r="5" spans="1:6" x14ac:dyDescent="0.2">
      <c r="A5" t="s">
        <v>26</v>
      </c>
      <c r="B5" t="s">
        <v>7</v>
      </c>
      <c r="C5" s="1">
        <v>15</v>
      </c>
      <c r="D5" s="1">
        <v>30</v>
      </c>
      <c r="E5" s="1">
        <v>30</v>
      </c>
      <c r="F5" s="1">
        <v>112</v>
      </c>
    </row>
    <row r="6" spans="1:6" x14ac:dyDescent="0.2">
      <c r="A6" t="s">
        <v>26</v>
      </c>
      <c r="B6" t="s">
        <v>7</v>
      </c>
      <c r="C6" s="1">
        <v>31</v>
      </c>
      <c r="D6" s="1">
        <v>40</v>
      </c>
      <c r="E6" s="1">
        <v>12</v>
      </c>
      <c r="F6" s="1">
        <v>44</v>
      </c>
    </row>
    <row r="7" spans="1:6" x14ac:dyDescent="0.2">
      <c r="A7" t="s">
        <v>26</v>
      </c>
      <c r="B7" t="s">
        <v>7</v>
      </c>
      <c r="C7">
        <v>41</v>
      </c>
      <c r="D7">
        <v>50</v>
      </c>
      <c r="E7">
        <v>0</v>
      </c>
      <c r="F7">
        <v>2</v>
      </c>
    </row>
    <row r="8" spans="1:6" x14ac:dyDescent="0.2">
      <c r="A8" t="s">
        <v>25</v>
      </c>
      <c r="B8" t="s">
        <v>8</v>
      </c>
      <c r="C8" s="1">
        <v>15</v>
      </c>
      <c r="D8" s="1">
        <v>22</v>
      </c>
      <c r="E8" t="s">
        <v>85</v>
      </c>
      <c r="F8" t="s">
        <v>85</v>
      </c>
    </row>
    <row r="9" spans="1:6" x14ac:dyDescent="0.2">
      <c r="A9" t="s">
        <v>25</v>
      </c>
      <c r="B9" t="s">
        <v>8</v>
      </c>
      <c r="C9" s="1">
        <v>23</v>
      </c>
      <c r="D9" s="1">
        <v>29</v>
      </c>
      <c r="E9" t="s">
        <v>85</v>
      </c>
      <c r="F9" t="s">
        <v>85</v>
      </c>
    </row>
    <row r="10" spans="1:6" x14ac:dyDescent="0.2">
      <c r="A10" t="s">
        <v>25</v>
      </c>
      <c r="B10" t="s">
        <v>8</v>
      </c>
      <c r="C10">
        <v>30</v>
      </c>
      <c r="D10">
        <v>35</v>
      </c>
      <c r="E10" t="s">
        <v>85</v>
      </c>
      <c r="F10" t="s">
        <v>85</v>
      </c>
    </row>
    <row r="11" spans="1:6" x14ac:dyDescent="0.2">
      <c r="A11" t="s">
        <v>31</v>
      </c>
      <c r="B11" t="s">
        <v>9</v>
      </c>
      <c r="C11" t="s">
        <v>85</v>
      </c>
      <c r="D11" s="1">
        <v>27</v>
      </c>
      <c r="E11">
        <v>45</v>
      </c>
      <c r="F11">
        <v>211</v>
      </c>
    </row>
    <row r="12" spans="1:6" x14ac:dyDescent="0.2">
      <c r="A12" t="s">
        <v>31</v>
      </c>
      <c r="B12" t="s">
        <v>9</v>
      </c>
      <c r="C12">
        <v>28</v>
      </c>
      <c r="D12" s="1">
        <v>33</v>
      </c>
      <c r="E12">
        <v>37</v>
      </c>
      <c r="F12">
        <v>119</v>
      </c>
    </row>
    <row r="13" spans="1:6" x14ac:dyDescent="0.2">
      <c r="A13" t="s">
        <v>31</v>
      </c>
      <c r="B13" t="s">
        <v>9</v>
      </c>
      <c r="C13">
        <v>34</v>
      </c>
      <c r="D13" s="1">
        <v>39</v>
      </c>
      <c r="E13">
        <v>20</v>
      </c>
      <c r="F13">
        <v>44</v>
      </c>
    </row>
    <row r="14" spans="1:6" x14ac:dyDescent="0.2">
      <c r="A14" t="s">
        <v>31</v>
      </c>
      <c r="B14" t="s">
        <v>9</v>
      </c>
      <c r="C14">
        <v>40</v>
      </c>
      <c r="D14">
        <v>45</v>
      </c>
      <c r="E14">
        <v>2</v>
      </c>
      <c r="F14">
        <v>9</v>
      </c>
    </row>
    <row r="15" spans="1:6" x14ac:dyDescent="0.2">
      <c r="A15" s="4" t="s">
        <v>37</v>
      </c>
      <c r="B15" t="s">
        <v>10</v>
      </c>
      <c r="C15">
        <v>16</v>
      </c>
      <c r="D15" s="1">
        <v>25</v>
      </c>
      <c r="E15">
        <v>66</v>
      </c>
      <c r="F15">
        <f>123+66</f>
        <v>189</v>
      </c>
    </row>
    <row r="16" spans="1:6" x14ac:dyDescent="0.2">
      <c r="A16" t="s">
        <v>37</v>
      </c>
      <c r="B16" t="s">
        <v>10</v>
      </c>
      <c r="C16">
        <v>26</v>
      </c>
      <c r="D16" s="1">
        <v>30</v>
      </c>
      <c r="E16">
        <v>67</v>
      </c>
      <c r="F16">
        <f>67+77</f>
        <v>144</v>
      </c>
    </row>
    <row r="17" spans="1:6" x14ac:dyDescent="0.2">
      <c r="A17" t="s">
        <v>37</v>
      </c>
      <c r="B17" t="s">
        <v>10</v>
      </c>
      <c r="C17">
        <v>31</v>
      </c>
      <c r="D17" s="1">
        <v>35</v>
      </c>
      <c r="E17">
        <v>70</v>
      </c>
      <c r="F17">
        <f>70+68</f>
        <v>138</v>
      </c>
    </row>
    <row r="18" spans="1:6" x14ac:dyDescent="0.2">
      <c r="A18" t="s">
        <v>37</v>
      </c>
      <c r="B18" t="s">
        <v>10</v>
      </c>
      <c r="C18" s="3">
        <v>36</v>
      </c>
      <c r="D18" s="3">
        <v>46</v>
      </c>
      <c r="E18">
        <v>45</v>
      </c>
      <c r="F18">
        <f>45+60</f>
        <v>105</v>
      </c>
    </row>
    <row r="19" spans="1:6" x14ac:dyDescent="0.2">
      <c r="A19" t="s">
        <v>36</v>
      </c>
      <c r="B19" t="s">
        <v>11</v>
      </c>
      <c r="C19" s="3">
        <v>18</v>
      </c>
      <c r="D19" s="3">
        <v>24</v>
      </c>
      <c r="E19">
        <v>84</v>
      </c>
      <c r="F19">
        <v>120</v>
      </c>
    </row>
    <row r="20" spans="1:6" x14ac:dyDescent="0.2">
      <c r="A20" t="s">
        <v>36</v>
      </c>
      <c r="B20" t="s">
        <v>11</v>
      </c>
      <c r="C20" s="3">
        <v>25</v>
      </c>
      <c r="D20" s="3">
        <v>30</v>
      </c>
      <c r="E20">
        <v>60</v>
      </c>
      <c r="F20">
        <v>213</v>
      </c>
    </row>
    <row r="21" spans="1:6" x14ac:dyDescent="0.2">
      <c r="A21" t="s">
        <v>36</v>
      </c>
      <c r="B21" t="s">
        <v>11</v>
      </c>
      <c r="C21">
        <v>31</v>
      </c>
      <c r="D21">
        <v>46</v>
      </c>
      <c r="E21">
        <v>21</v>
      </c>
      <c r="F21">
        <v>68</v>
      </c>
    </row>
    <row r="22" spans="1:6" x14ac:dyDescent="0.2">
      <c r="A22" t="s">
        <v>35</v>
      </c>
      <c r="B22" t="s">
        <v>12</v>
      </c>
      <c r="C22" s="3">
        <v>20</v>
      </c>
      <c r="D22" s="3">
        <v>29</v>
      </c>
      <c r="E22">
        <v>109</v>
      </c>
      <c r="F22">
        <f>73+109</f>
        <v>182</v>
      </c>
    </row>
    <row r="23" spans="1:6" x14ac:dyDescent="0.2">
      <c r="A23" t="s">
        <v>35</v>
      </c>
      <c r="B23" t="s">
        <v>12</v>
      </c>
      <c r="C23" s="3">
        <v>30</v>
      </c>
      <c r="D23" s="3">
        <v>39</v>
      </c>
      <c r="E23">
        <v>112</v>
      </c>
      <c r="F23">
        <f>112+91</f>
        <v>203</v>
      </c>
    </row>
    <row r="24" spans="1:6" x14ac:dyDescent="0.2">
      <c r="A24" t="s">
        <v>35</v>
      </c>
      <c r="B24" t="s">
        <v>12</v>
      </c>
      <c r="C24">
        <v>40</v>
      </c>
      <c r="D24" t="s">
        <v>85</v>
      </c>
      <c r="E24">
        <v>8</v>
      </c>
      <c r="F24">
        <f>8+7</f>
        <v>15</v>
      </c>
    </row>
    <row r="25" spans="1:6" x14ac:dyDescent="0.2">
      <c r="A25" s="4" t="s">
        <v>34</v>
      </c>
      <c r="B25" t="s">
        <v>10</v>
      </c>
      <c r="C25" s="3">
        <v>15</v>
      </c>
      <c r="D25" s="3">
        <v>19</v>
      </c>
      <c r="E25">
        <v>65</v>
      </c>
      <c r="F25">
        <v>438</v>
      </c>
    </row>
    <row r="26" spans="1:6" x14ac:dyDescent="0.2">
      <c r="A26" t="s">
        <v>34</v>
      </c>
      <c r="B26" t="s">
        <v>10</v>
      </c>
      <c r="C26" s="3">
        <v>20</v>
      </c>
      <c r="D26" s="3">
        <v>25</v>
      </c>
      <c r="E26">
        <v>256</v>
      </c>
      <c r="F26">
        <v>1480</v>
      </c>
    </row>
    <row r="27" spans="1:6" x14ac:dyDescent="0.2">
      <c r="A27" t="s">
        <v>34</v>
      </c>
      <c r="B27" t="s">
        <v>10</v>
      </c>
      <c r="C27" s="3">
        <v>26</v>
      </c>
      <c r="D27" s="3">
        <v>30</v>
      </c>
      <c r="E27">
        <v>475</v>
      </c>
      <c r="F27">
        <v>1854</v>
      </c>
    </row>
    <row r="28" spans="1:6" x14ac:dyDescent="0.2">
      <c r="A28" t="s">
        <v>34</v>
      </c>
      <c r="B28" t="s">
        <v>10</v>
      </c>
      <c r="C28" s="3">
        <v>30</v>
      </c>
      <c r="D28" s="3">
        <v>35</v>
      </c>
      <c r="E28">
        <v>394</v>
      </c>
      <c r="F28">
        <v>699</v>
      </c>
    </row>
    <row r="29" spans="1:6" x14ac:dyDescent="0.2">
      <c r="A29" t="s">
        <v>34</v>
      </c>
      <c r="B29" t="s">
        <v>10</v>
      </c>
      <c r="C29" s="3">
        <v>36</v>
      </c>
      <c r="D29" s="3">
        <v>39</v>
      </c>
      <c r="E29">
        <v>220</v>
      </c>
      <c r="F29">
        <v>436</v>
      </c>
    </row>
    <row r="30" spans="1:6" x14ac:dyDescent="0.2">
      <c r="A30" t="s">
        <v>34</v>
      </c>
      <c r="B30" t="s">
        <v>10</v>
      </c>
      <c r="C30">
        <v>40</v>
      </c>
      <c r="D30">
        <v>52</v>
      </c>
      <c r="E30">
        <v>80</v>
      </c>
      <c r="F30">
        <v>171</v>
      </c>
    </row>
    <row r="31" spans="1:6" x14ac:dyDescent="0.2">
      <c r="A31" s="4" t="s">
        <v>33</v>
      </c>
      <c r="B31" t="s">
        <v>13</v>
      </c>
      <c r="C31" s="3">
        <v>15</v>
      </c>
      <c r="D31" s="3">
        <v>19</v>
      </c>
      <c r="E31">
        <v>20</v>
      </c>
      <c r="F31">
        <v>45</v>
      </c>
    </row>
    <row r="32" spans="1:6" x14ac:dyDescent="0.2">
      <c r="A32" t="s">
        <v>33</v>
      </c>
      <c r="B32" t="s">
        <v>13</v>
      </c>
      <c r="C32" s="3">
        <v>20</v>
      </c>
      <c r="D32" s="3">
        <v>24</v>
      </c>
      <c r="E32">
        <v>96</v>
      </c>
      <c r="F32">
        <v>243</v>
      </c>
    </row>
    <row r="33" spans="1:6" x14ac:dyDescent="0.2">
      <c r="A33" t="s">
        <v>33</v>
      </c>
      <c r="B33" t="s">
        <v>13</v>
      </c>
      <c r="C33" s="3">
        <v>25</v>
      </c>
      <c r="D33" s="3">
        <v>29</v>
      </c>
      <c r="E33">
        <v>85</v>
      </c>
      <c r="F33">
        <v>336</v>
      </c>
    </row>
    <row r="34" spans="1:6" x14ac:dyDescent="0.2">
      <c r="A34" t="s">
        <v>33</v>
      </c>
      <c r="B34" t="s">
        <v>13</v>
      </c>
      <c r="C34" s="3">
        <v>30</v>
      </c>
      <c r="D34" s="3">
        <v>34</v>
      </c>
      <c r="E34">
        <v>35</v>
      </c>
      <c r="F34">
        <v>239</v>
      </c>
    </row>
    <row r="35" spans="1:6" x14ac:dyDescent="0.2">
      <c r="A35" t="s">
        <v>33</v>
      </c>
      <c r="B35" t="s">
        <v>13</v>
      </c>
      <c r="C35" s="3">
        <v>35</v>
      </c>
      <c r="D35" s="3">
        <v>39</v>
      </c>
      <c r="E35">
        <v>13</v>
      </c>
      <c r="F35">
        <v>120</v>
      </c>
    </row>
    <row r="36" spans="1:6" x14ac:dyDescent="0.2">
      <c r="A36" t="s">
        <v>33</v>
      </c>
      <c r="B36" t="s">
        <v>13</v>
      </c>
      <c r="C36">
        <v>40</v>
      </c>
      <c r="D36">
        <v>45</v>
      </c>
      <c r="E36">
        <v>3</v>
      </c>
      <c r="F36">
        <v>29</v>
      </c>
    </row>
    <row r="37" spans="1:6" x14ac:dyDescent="0.2">
      <c r="A37" t="s">
        <v>32</v>
      </c>
      <c r="B37" t="s">
        <v>7</v>
      </c>
      <c r="C37" s="3">
        <v>16</v>
      </c>
      <c r="D37" s="3">
        <v>24</v>
      </c>
      <c r="E37">
        <v>13</v>
      </c>
      <c r="F37">
        <v>115</v>
      </c>
    </row>
    <row r="38" spans="1:6" x14ac:dyDescent="0.2">
      <c r="A38" t="s">
        <v>32</v>
      </c>
      <c r="B38" t="s">
        <v>7</v>
      </c>
      <c r="C38" s="3">
        <v>25</v>
      </c>
      <c r="D38" s="3">
        <v>35</v>
      </c>
      <c r="E38">
        <v>25</v>
      </c>
      <c r="F38">
        <v>204</v>
      </c>
    </row>
    <row r="39" spans="1:6" x14ac:dyDescent="0.2">
      <c r="A39" t="s">
        <v>32</v>
      </c>
      <c r="B39" t="s">
        <v>7</v>
      </c>
      <c r="C39" s="3">
        <v>36</v>
      </c>
      <c r="D39" s="3">
        <v>45</v>
      </c>
      <c r="E39">
        <v>7</v>
      </c>
      <c r="F39">
        <v>65</v>
      </c>
    </row>
    <row r="40" spans="1:6" x14ac:dyDescent="0.2">
      <c r="A40" t="s">
        <v>32</v>
      </c>
      <c r="B40" t="s">
        <v>7</v>
      </c>
      <c r="C40">
        <v>46</v>
      </c>
      <c r="D40" t="s">
        <v>85</v>
      </c>
      <c r="E40">
        <v>0</v>
      </c>
      <c r="F40">
        <v>0</v>
      </c>
    </row>
    <row r="41" spans="1:6" x14ac:dyDescent="0.2">
      <c r="A41" t="s">
        <v>40</v>
      </c>
      <c r="B41" t="s">
        <v>14</v>
      </c>
      <c r="C41" s="3">
        <v>15</v>
      </c>
      <c r="D41" s="3">
        <v>20</v>
      </c>
      <c r="E41">
        <v>0</v>
      </c>
      <c r="F41">
        <v>38</v>
      </c>
    </row>
    <row r="42" spans="1:6" x14ac:dyDescent="0.2">
      <c r="A42" t="s">
        <v>40</v>
      </c>
      <c r="B42" t="s">
        <v>14</v>
      </c>
      <c r="C42" s="3">
        <v>21</v>
      </c>
      <c r="D42" s="3">
        <v>25</v>
      </c>
      <c r="E42">
        <v>3</v>
      </c>
      <c r="F42">
        <v>108</v>
      </c>
    </row>
    <row r="43" spans="1:6" x14ac:dyDescent="0.2">
      <c r="A43" t="s">
        <v>40</v>
      </c>
      <c r="B43" t="s">
        <v>14</v>
      </c>
      <c r="C43" s="3">
        <v>26</v>
      </c>
      <c r="D43" s="3">
        <v>30</v>
      </c>
      <c r="E43">
        <v>5</v>
      </c>
      <c r="F43">
        <v>96</v>
      </c>
    </row>
    <row r="44" spans="1:6" x14ac:dyDescent="0.2">
      <c r="A44" t="s">
        <v>40</v>
      </c>
      <c r="B44" t="s">
        <v>14</v>
      </c>
      <c r="C44" s="3">
        <v>31</v>
      </c>
      <c r="D44" s="3">
        <v>35</v>
      </c>
      <c r="E44">
        <v>0</v>
      </c>
      <c r="F44">
        <v>59</v>
      </c>
    </row>
    <row r="45" spans="1:6" x14ac:dyDescent="0.2">
      <c r="A45" t="s">
        <v>40</v>
      </c>
      <c r="B45" t="s">
        <v>14</v>
      </c>
      <c r="C45">
        <v>36</v>
      </c>
      <c r="D45">
        <v>47</v>
      </c>
      <c r="E45">
        <v>1</v>
      </c>
      <c r="F45">
        <v>43</v>
      </c>
    </row>
    <row r="46" spans="1:6" x14ac:dyDescent="0.2">
      <c r="A46" t="s">
        <v>39</v>
      </c>
      <c r="B46" t="s">
        <v>7</v>
      </c>
      <c r="C46">
        <v>15</v>
      </c>
      <c r="D46" s="3">
        <v>19</v>
      </c>
      <c r="E46">
        <v>0</v>
      </c>
      <c r="F46">
        <v>0</v>
      </c>
    </row>
    <row r="47" spans="1:6" x14ac:dyDescent="0.2">
      <c r="A47" t="s">
        <v>39</v>
      </c>
      <c r="B47" t="s">
        <v>7</v>
      </c>
      <c r="C47" s="3">
        <v>20</v>
      </c>
      <c r="D47" s="3">
        <v>39</v>
      </c>
      <c r="E47">
        <v>45</v>
      </c>
      <c r="F47">
        <f>E47+98</f>
        <v>143</v>
      </c>
    </row>
    <row r="48" spans="1:6" x14ac:dyDescent="0.2">
      <c r="A48" t="s">
        <v>39</v>
      </c>
      <c r="B48" t="s">
        <v>7</v>
      </c>
      <c r="C48">
        <v>40</v>
      </c>
      <c r="D48">
        <v>49</v>
      </c>
      <c r="E48">
        <v>2</v>
      </c>
      <c r="F48">
        <v>12</v>
      </c>
    </row>
    <row r="49" spans="1:6" x14ac:dyDescent="0.2">
      <c r="A49" t="s">
        <v>41</v>
      </c>
      <c r="B49" t="s">
        <v>11</v>
      </c>
      <c r="C49">
        <v>15</v>
      </c>
      <c r="D49" s="3">
        <v>20</v>
      </c>
      <c r="E49">
        <v>15</v>
      </c>
      <c r="F49">
        <v>24</v>
      </c>
    </row>
    <row r="50" spans="1:6" x14ac:dyDescent="0.2">
      <c r="A50" t="s">
        <v>41</v>
      </c>
      <c r="B50" t="s">
        <v>11</v>
      </c>
      <c r="C50">
        <v>21</v>
      </c>
      <c r="D50" s="3">
        <v>25</v>
      </c>
      <c r="E50">
        <v>71</v>
      </c>
      <c r="F50">
        <v>98</v>
      </c>
    </row>
    <row r="51" spans="1:6" x14ac:dyDescent="0.2">
      <c r="A51" t="s">
        <v>41</v>
      </c>
      <c r="B51" t="s">
        <v>11</v>
      </c>
      <c r="C51">
        <v>26</v>
      </c>
      <c r="D51" s="3">
        <v>30</v>
      </c>
      <c r="E51">
        <v>52</v>
      </c>
      <c r="F51">
        <v>84</v>
      </c>
    </row>
    <row r="52" spans="1:6" x14ac:dyDescent="0.2">
      <c r="A52" t="s">
        <v>41</v>
      </c>
      <c r="B52" t="s">
        <v>11</v>
      </c>
      <c r="C52">
        <v>31</v>
      </c>
      <c r="D52" s="3">
        <v>35</v>
      </c>
      <c r="E52">
        <v>2</v>
      </c>
      <c r="F52">
        <v>15</v>
      </c>
    </row>
    <row r="53" spans="1:6" x14ac:dyDescent="0.2">
      <c r="A53" t="s">
        <v>41</v>
      </c>
      <c r="B53" t="s">
        <v>11</v>
      </c>
      <c r="C53">
        <v>36</v>
      </c>
      <c r="D53" s="3">
        <v>40</v>
      </c>
      <c r="E53">
        <v>6</v>
      </c>
      <c r="F53">
        <v>8</v>
      </c>
    </row>
    <row r="54" spans="1:6" x14ac:dyDescent="0.2">
      <c r="A54" t="s">
        <v>41</v>
      </c>
      <c r="B54" t="s">
        <v>11</v>
      </c>
      <c r="C54">
        <v>41</v>
      </c>
      <c r="D54">
        <v>45</v>
      </c>
      <c r="E54">
        <v>2</v>
      </c>
      <c r="F54">
        <v>4</v>
      </c>
    </row>
    <row r="55" spans="1:6" x14ac:dyDescent="0.2">
      <c r="A55" t="s">
        <v>38</v>
      </c>
      <c r="B55" t="s">
        <v>15</v>
      </c>
      <c r="C55">
        <v>15</v>
      </c>
      <c r="D55" s="3">
        <v>24</v>
      </c>
      <c r="E55">
        <v>25</v>
      </c>
      <c r="F55">
        <v>57</v>
      </c>
    </row>
    <row r="56" spans="1:6" x14ac:dyDescent="0.2">
      <c r="A56" t="s">
        <v>38</v>
      </c>
      <c r="B56" t="s">
        <v>15</v>
      </c>
      <c r="C56">
        <v>25</v>
      </c>
      <c r="D56" s="3">
        <v>34</v>
      </c>
      <c r="E56">
        <v>69</v>
      </c>
      <c r="F56">
        <v>125</v>
      </c>
    </row>
    <row r="57" spans="1:6" x14ac:dyDescent="0.2">
      <c r="A57" t="s">
        <v>38</v>
      </c>
      <c r="B57" t="s">
        <v>15</v>
      </c>
      <c r="C57">
        <v>35</v>
      </c>
      <c r="D57">
        <v>44</v>
      </c>
      <c r="E57">
        <v>18</v>
      </c>
      <c r="F57">
        <v>28</v>
      </c>
    </row>
    <row r="58" spans="1:6" x14ac:dyDescent="0.2">
      <c r="A58" s="4" t="s">
        <v>42</v>
      </c>
      <c r="B58" t="s">
        <v>16</v>
      </c>
      <c r="C58">
        <v>14</v>
      </c>
      <c r="D58" s="3">
        <v>23</v>
      </c>
      <c r="E58">
        <v>14</v>
      </c>
      <c r="F58">
        <v>44</v>
      </c>
    </row>
    <row r="59" spans="1:6" x14ac:dyDescent="0.2">
      <c r="A59" t="s">
        <v>42</v>
      </c>
      <c r="B59" t="s">
        <v>16</v>
      </c>
      <c r="C59">
        <v>24</v>
      </c>
      <c r="D59" s="3">
        <v>33</v>
      </c>
      <c r="E59">
        <v>21</v>
      </c>
      <c r="F59">
        <v>61</v>
      </c>
    </row>
    <row r="60" spans="1:6" x14ac:dyDescent="0.2">
      <c r="A60" t="s">
        <v>42</v>
      </c>
      <c r="B60" t="s">
        <v>16</v>
      </c>
      <c r="C60">
        <v>34</v>
      </c>
      <c r="D60" s="3">
        <v>43</v>
      </c>
      <c r="E60">
        <v>6</v>
      </c>
      <c r="F60">
        <v>17</v>
      </c>
    </row>
    <row r="61" spans="1:6" x14ac:dyDescent="0.2">
      <c r="A61" t="s">
        <v>42</v>
      </c>
      <c r="B61" t="s">
        <v>16</v>
      </c>
      <c r="C61">
        <v>44</v>
      </c>
      <c r="D61">
        <v>50</v>
      </c>
      <c r="E61">
        <v>3</v>
      </c>
      <c r="F61">
        <v>5</v>
      </c>
    </row>
    <row r="62" spans="1:6" x14ac:dyDescent="0.2">
      <c r="A62" t="s">
        <v>43</v>
      </c>
      <c r="B62" t="s">
        <v>17</v>
      </c>
      <c r="C62">
        <v>17</v>
      </c>
      <c r="D62" s="3">
        <v>19</v>
      </c>
      <c r="E62">
        <v>1</v>
      </c>
      <c r="F62">
        <v>12</v>
      </c>
    </row>
    <row r="63" spans="1:6" x14ac:dyDescent="0.2">
      <c r="A63" t="s">
        <v>43</v>
      </c>
      <c r="B63" t="s">
        <v>17</v>
      </c>
      <c r="C63">
        <v>20</v>
      </c>
      <c r="D63" s="3">
        <v>24</v>
      </c>
      <c r="E63">
        <v>9</v>
      </c>
      <c r="F63">
        <v>32</v>
      </c>
    </row>
    <row r="64" spans="1:6" x14ac:dyDescent="0.2">
      <c r="A64" t="s">
        <v>43</v>
      </c>
      <c r="B64" t="s">
        <v>17</v>
      </c>
      <c r="C64">
        <v>25</v>
      </c>
      <c r="D64" s="3">
        <v>29</v>
      </c>
      <c r="E64">
        <v>6</v>
      </c>
      <c r="F64">
        <v>29</v>
      </c>
    </row>
    <row r="65" spans="1:6" x14ac:dyDescent="0.2">
      <c r="A65" t="s">
        <v>43</v>
      </c>
      <c r="B65" t="s">
        <v>17</v>
      </c>
      <c r="C65">
        <v>30</v>
      </c>
      <c r="D65" s="3">
        <v>35</v>
      </c>
      <c r="E65">
        <v>4</v>
      </c>
      <c r="F65">
        <v>15</v>
      </c>
    </row>
    <row r="66" spans="1:6" x14ac:dyDescent="0.2">
      <c r="A66" t="s">
        <v>43</v>
      </c>
      <c r="B66" t="s">
        <v>17</v>
      </c>
      <c r="C66">
        <v>36</v>
      </c>
      <c r="D66" t="s">
        <v>85</v>
      </c>
      <c r="E66">
        <v>2</v>
      </c>
      <c r="F66">
        <v>8</v>
      </c>
    </row>
    <row r="67" spans="1:6" x14ac:dyDescent="0.2">
      <c r="A67" t="s">
        <v>44</v>
      </c>
      <c r="B67" t="s">
        <v>11</v>
      </c>
      <c r="C67">
        <v>15</v>
      </c>
      <c r="D67" s="2">
        <v>24.9</v>
      </c>
      <c r="E67">
        <v>127</v>
      </c>
      <c r="F67">
        <v>161</v>
      </c>
    </row>
    <row r="68" spans="1:6" x14ac:dyDescent="0.2">
      <c r="A68" t="s">
        <v>44</v>
      </c>
      <c r="B68" t="s">
        <v>11</v>
      </c>
      <c r="C68">
        <v>25</v>
      </c>
      <c r="D68" s="2">
        <v>34.9</v>
      </c>
      <c r="E68">
        <v>250</v>
      </c>
      <c r="F68">
        <v>301</v>
      </c>
    </row>
    <row r="69" spans="1:6" x14ac:dyDescent="0.2">
      <c r="A69" t="s">
        <v>44</v>
      </c>
      <c r="B69" t="s">
        <v>11</v>
      </c>
      <c r="C69">
        <v>35</v>
      </c>
      <c r="D69">
        <v>42</v>
      </c>
      <c r="E69">
        <v>5</v>
      </c>
      <c r="F69">
        <v>32</v>
      </c>
    </row>
    <row r="70" spans="1:6" x14ac:dyDescent="0.2">
      <c r="A70" t="s">
        <v>45</v>
      </c>
      <c r="B70" t="s">
        <v>11</v>
      </c>
      <c r="C70">
        <v>15</v>
      </c>
      <c r="D70">
        <v>24</v>
      </c>
      <c r="E70">
        <v>13</v>
      </c>
      <c r="F70">
        <v>117</v>
      </c>
    </row>
    <row r="71" spans="1:6" x14ac:dyDescent="0.2">
      <c r="A71" t="s">
        <v>45</v>
      </c>
      <c r="B71" t="s">
        <v>11</v>
      </c>
      <c r="C71">
        <v>25</v>
      </c>
      <c r="D71">
        <v>34</v>
      </c>
      <c r="E71">
        <v>65</v>
      </c>
      <c r="F71">
        <v>178</v>
      </c>
    </row>
    <row r="72" spans="1:6" x14ac:dyDescent="0.2">
      <c r="A72" t="s">
        <v>45</v>
      </c>
      <c r="B72" t="s">
        <v>11</v>
      </c>
      <c r="C72">
        <v>35</v>
      </c>
      <c r="D72">
        <v>49</v>
      </c>
      <c r="E72">
        <v>50</v>
      </c>
      <c r="F72">
        <v>65</v>
      </c>
    </row>
    <row r="73" spans="1:6" x14ac:dyDescent="0.2">
      <c r="A73" t="s">
        <v>46</v>
      </c>
      <c r="B73" t="s">
        <v>9</v>
      </c>
      <c r="C73" t="s">
        <v>85</v>
      </c>
      <c r="D73" t="s">
        <v>85</v>
      </c>
      <c r="E73" t="s">
        <v>85</v>
      </c>
      <c r="F73" t="s">
        <v>85</v>
      </c>
    </row>
    <row r="74" spans="1:6" x14ac:dyDescent="0.2">
      <c r="A74" s="4" t="s">
        <v>47</v>
      </c>
      <c r="B74" t="s">
        <v>16</v>
      </c>
      <c r="C74">
        <v>20</v>
      </c>
      <c r="D74">
        <v>25</v>
      </c>
      <c r="E74" s="3">
        <f>52*0.4617</f>
        <v>24.008400000000002</v>
      </c>
      <c r="F74">
        <v>52</v>
      </c>
    </row>
    <row r="75" spans="1:6" x14ac:dyDescent="0.2">
      <c r="A75" t="s">
        <v>47</v>
      </c>
      <c r="B75" t="s">
        <v>16</v>
      </c>
      <c r="C75">
        <v>26</v>
      </c>
      <c r="D75">
        <v>30</v>
      </c>
      <c r="E75" s="3">
        <f>F75*0.4634</f>
        <v>37.998799999999996</v>
      </c>
      <c r="F75">
        <v>82</v>
      </c>
    </row>
    <row r="76" spans="1:6" x14ac:dyDescent="0.2">
      <c r="A76" t="s">
        <v>47</v>
      </c>
      <c r="B76" t="s">
        <v>16</v>
      </c>
      <c r="C76">
        <v>31</v>
      </c>
      <c r="D76">
        <v>35</v>
      </c>
      <c r="E76" s="3">
        <f>F76*0.4524</f>
        <v>19.000800000000002</v>
      </c>
      <c r="F76">
        <v>42</v>
      </c>
    </row>
    <row r="77" spans="1:6" x14ac:dyDescent="0.2">
      <c r="A77" t="s">
        <v>47</v>
      </c>
      <c r="B77" t="s">
        <v>16</v>
      </c>
      <c r="C77">
        <v>36</v>
      </c>
      <c r="D77" t="s">
        <v>86</v>
      </c>
      <c r="E77" s="3">
        <f>F77*0.4167</f>
        <v>10.0008</v>
      </c>
      <c r="F77">
        <v>24</v>
      </c>
    </row>
    <row r="78" spans="1:6" x14ac:dyDescent="0.2">
      <c r="A78" t="s">
        <v>48</v>
      </c>
      <c r="B78" t="s">
        <v>16</v>
      </c>
      <c r="C78">
        <v>15</v>
      </c>
      <c r="D78">
        <v>20</v>
      </c>
      <c r="E78" s="3" t="s">
        <v>85</v>
      </c>
      <c r="F78" t="s">
        <v>85</v>
      </c>
    </row>
    <row r="79" spans="1:6" x14ac:dyDescent="0.2">
      <c r="A79" t="s">
        <v>48</v>
      </c>
      <c r="B79" t="s">
        <v>16</v>
      </c>
      <c r="C79">
        <v>21</v>
      </c>
      <c r="D79">
        <v>25</v>
      </c>
      <c r="E79" s="3" t="s">
        <v>85</v>
      </c>
      <c r="F79" t="s">
        <v>85</v>
      </c>
    </row>
    <row r="80" spans="1:6" x14ac:dyDescent="0.2">
      <c r="A80" t="s">
        <v>48</v>
      </c>
      <c r="B80" t="s">
        <v>16</v>
      </c>
      <c r="C80">
        <v>26</v>
      </c>
      <c r="D80">
        <v>30</v>
      </c>
      <c r="E80" s="3" t="s">
        <v>85</v>
      </c>
      <c r="F80" t="s">
        <v>85</v>
      </c>
    </row>
    <row r="81" spans="1:6" x14ac:dyDescent="0.2">
      <c r="A81" t="s">
        <v>48</v>
      </c>
      <c r="B81" t="s">
        <v>16</v>
      </c>
      <c r="C81">
        <v>31</v>
      </c>
      <c r="D81">
        <v>35</v>
      </c>
      <c r="E81" s="3" t="s">
        <v>85</v>
      </c>
      <c r="F81" t="s">
        <v>85</v>
      </c>
    </row>
    <row r="82" spans="1:6" x14ac:dyDescent="0.2">
      <c r="A82" t="s">
        <v>48</v>
      </c>
      <c r="B82" t="s">
        <v>16</v>
      </c>
      <c r="C82">
        <v>36</v>
      </c>
      <c r="D82">
        <v>40</v>
      </c>
      <c r="E82" s="3" t="s">
        <v>85</v>
      </c>
      <c r="F82" t="s">
        <v>85</v>
      </c>
    </row>
    <row r="83" spans="1:6" x14ac:dyDescent="0.2">
      <c r="A83" t="s">
        <v>48</v>
      </c>
      <c r="B83" t="s">
        <v>16</v>
      </c>
      <c r="C83">
        <v>41</v>
      </c>
      <c r="D83">
        <v>50</v>
      </c>
      <c r="E83" s="3" t="s">
        <v>85</v>
      </c>
      <c r="F83" t="s">
        <v>85</v>
      </c>
    </row>
    <row r="84" spans="1:6" x14ac:dyDescent="0.2">
      <c r="A84" s="4" t="s">
        <v>49</v>
      </c>
      <c r="B84" t="s">
        <v>11</v>
      </c>
      <c r="C84">
        <v>15</v>
      </c>
      <c r="D84">
        <v>19</v>
      </c>
      <c r="E84">
        <v>11</v>
      </c>
      <c r="F84">
        <v>55</v>
      </c>
    </row>
    <row r="85" spans="1:6" x14ac:dyDescent="0.2">
      <c r="A85" t="s">
        <v>49</v>
      </c>
      <c r="B85" t="s">
        <v>11</v>
      </c>
      <c r="C85">
        <v>20</v>
      </c>
      <c r="D85">
        <v>24</v>
      </c>
      <c r="E85">
        <v>37</v>
      </c>
      <c r="F85">
        <v>146</v>
      </c>
    </row>
    <row r="86" spans="1:6" x14ac:dyDescent="0.2">
      <c r="A86" t="s">
        <v>49</v>
      </c>
      <c r="B86" t="s">
        <v>11</v>
      </c>
      <c r="C86">
        <v>25</v>
      </c>
      <c r="D86">
        <v>29</v>
      </c>
      <c r="E86">
        <v>28</v>
      </c>
      <c r="F86">
        <v>115</v>
      </c>
    </row>
    <row r="87" spans="1:6" x14ac:dyDescent="0.2">
      <c r="A87" t="s">
        <v>49</v>
      </c>
      <c r="B87" t="s">
        <v>11</v>
      </c>
      <c r="C87">
        <v>30</v>
      </c>
      <c r="D87">
        <v>34</v>
      </c>
      <c r="E87">
        <v>14</v>
      </c>
      <c r="F87">
        <v>64</v>
      </c>
    </row>
    <row r="88" spans="1:6" x14ac:dyDescent="0.2">
      <c r="A88" t="s">
        <v>49</v>
      </c>
      <c r="B88" t="s">
        <v>11</v>
      </c>
      <c r="C88">
        <v>35</v>
      </c>
      <c r="D88">
        <v>39</v>
      </c>
      <c r="E88">
        <v>6</v>
      </c>
      <c r="F88">
        <v>16</v>
      </c>
    </row>
    <row r="89" spans="1:6" x14ac:dyDescent="0.2">
      <c r="A89" t="s">
        <v>50</v>
      </c>
      <c r="B89" t="s">
        <v>7</v>
      </c>
      <c r="C89" t="s">
        <v>85</v>
      </c>
      <c r="D89">
        <v>20</v>
      </c>
      <c r="E89">
        <v>5</v>
      </c>
      <c r="F89">
        <v>22</v>
      </c>
    </row>
    <row r="90" spans="1:6" x14ac:dyDescent="0.2">
      <c r="A90" t="s">
        <v>50</v>
      </c>
      <c r="B90" t="s">
        <v>7</v>
      </c>
      <c r="C90">
        <v>21</v>
      </c>
      <c r="D90">
        <v>30</v>
      </c>
      <c r="E90">
        <f>71+42</f>
        <v>113</v>
      </c>
      <c r="F90">
        <v>246</v>
      </c>
    </row>
    <row r="91" spans="1:6" x14ac:dyDescent="0.2">
      <c r="A91" t="s">
        <v>50</v>
      </c>
      <c r="B91" t="s">
        <v>7</v>
      </c>
      <c r="C91">
        <v>31</v>
      </c>
      <c r="D91">
        <v>40</v>
      </c>
      <c r="E91">
        <f>44+23</f>
        <v>67</v>
      </c>
      <c r="F91">
        <v>120</v>
      </c>
    </row>
    <row r="92" spans="1:6" x14ac:dyDescent="0.2">
      <c r="A92" t="s">
        <v>50</v>
      </c>
      <c r="B92" t="s">
        <v>7</v>
      </c>
      <c r="C92">
        <v>41</v>
      </c>
      <c r="D92">
        <v>50</v>
      </c>
      <c r="E92">
        <v>1</v>
      </c>
      <c r="F92">
        <v>3</v>
      </c>
    </row>
    <row r="93" spans="1:6" x14ac:dyDescent="0.2">
      <c r="A93" t="s">
        <v>51</v>
      </c>
      <c r="B93" t="s">
        <v>17</v>
      </c>
      <c r="C93">
        <v>15</v>
      </c>
      <c r="D93">
        <v>19</v>
      </c>
      <c r="E93">
        <v>0</v>
      </c>
      <c r="F93">
        <v>9</v>
      </c>
    </row>
    <row r="94" spans="1:6" x14ac:dyDescent="0.2">
      <c r="A94" s="4" t="s">
        <v>51</v>
      </c>
      <c r="B94" t="s">
        <v>17</v>
      </c>
      <c r="C94">
        <v>20</v>
      </c>
      <c r="D94">
        <v>24</v>
      </c>
      <c r="E94">
        <v>17</v>
      </c>
      <c r="F94">
        <v>108</v>
      </c>
    </row>
    <row r="95" spans="1:6" x14ac:dyDescent="0.2">
      <c r="A95" t="s">
        <v>51</v>
      </c>
      <c r="B95" t="s">
        <v>17</v>
      </c>
      <c r="C95">
        <v>25</v>
      </c>
      <c r="D95">
        <v>29</v>
      </c>
      <c r="E95">
        <v>27</v>
      </c>
      <c r="F95">
        <v>176</v>
      </c>
    </row>
    <row r="96" spans="1:6" x14ac:dyDescent="0.2">
      <c r="A96" t="s">
        <v>51</v>
      </c>
      <c r="B96" t="s">
        <v>17</v>
      </c>
      <c r="C96">
        <v>30</v>
      </c>
      <c r="D96">
        <v>34</v>
      </c>
      <c r="E96">
        <v>19</v>
      </c>
      <c r="F96">
        <v>62</v>
      </c>
    </row>
    <row r="97" spans="1:7" x14ac:dyDescent="0.2">
      <c r="A97" t="s">
        <v>51</v>
      </c>
      <c r="B97" t="s">
        <v>17</v>
      </c>
      <c r="C97">
        <v>35</v>
      </c>
      <c r="D97">
        <v>39</v>
      </c>
      <c r="E97">
        <v>11</v>
      </c>
      <c r="F97">
        <v>26</v>
      </c>
    </row>
    <row r="98" spans="1:7" x14ac:dyDescent="0.2">
      <c r="A98" t="s">
        <v>51</v>
      </c>
      <c r="B98" t="s">
        <v>17</v>
      </c>
      <c r="C98">
        <v>40</v>
      </c>
      <c r="D98">
        <v>44</v>
      </c>
      <c r="E98">
        <v>5</v>
      </c>
      <c r="F98">
        <v>7</v>
      </c>
    </row>
    <row r="99" spans="1:7" x14ac:dyDescent="0.2">
      <c r="A99" t="s">
        <v>52</v>
      </c>
      <c r="B99" t="s">
        <v>7</v>
      </c>
      <c r="C99" t="s">
        <v>85</v>
      </c>
      <c r="D99" t="s">
        <v>85</v>
      </c>
      <c r="E99" t="s">
        <v>85</v>
      </c>
      <c r="F99" t="s">
        <v>85</v>
      </c>
    </row>
    <row r="100" spans="1:7" x14ac:dyDescent="0.2">
      <c r="A100" s="4" t="s">
        <v>28</v>
      </c>
      <c r="B100" t="s">
        <v>18</v>
      </c>
      <c r="C100">
        <v>15</v>
      </c>
      <c r="D100">
        <v>20</v>
      </c>
      <c r="E100" t="s">
        <v>85</v>
      </c>
      <c r="F100">
        <v>10</v>
      </c>
    </row>
    <row r="101" spans="1:7" x14ac:dyDescent="0.2">
      <c r="A101" t="s">
        <v>28</v>
      </c>
      <c r="B101" t="s">
        <v>18</v>
      </c>
      <c r="C101">
        <v>21</v>
      </c>
      <c r="D101">
        <v>30</v>
      </c>
      <c r="E101" t="s">
        <v>85</v>
      </c>
      <c r="F101">
        <v>37</v>
      </c>
      <c r="G101" t="s">
        <v>88</v>
      </c>
    </row>
    <row r="102" spans="1:7" x14ac:dyDescent="0.2">
      <c r="A102" t="s">
        <v>28</v>
      </c>
      <c r="B102" t="s">
        <v>18</v>
      </c>
      <c r="C102">
        <v>31</v>
      </c>
      <c r="D102">
        <v>40</v>
      </c>
      <c r="E102" t="s">
        <v>85</v>
      </c>
      <c r="F102">
        <v>20</v>
      </c>
    </row>
    <row r="103" spans="1:7" x14ac:dyDescent="0.2">
      <c r="A103" t="s">
        <v>28</v>
      </c>
      <c r="B103" t="s">
        <v>18</v>
      </c>
      <c r="C103">
        <v>41</v>
      </c>
      <c r="D103">
        <v>45</v>
      </c>
      <c r="E103" t="s">
        <v>87</v>
      </c>
      <c r="F103">
        <v>1</v>
      </c>
    </row>
    <row r="104" spans="1:7" x14ac:dyDescent="0.2">
      <c r="A104" t="s">
        <v>53</v>
      </c>
      <c r="B104" t="s">
        <v>9</v>
      </c>
      <c r="C104">
        <v>18</v>
      </c>
      <c r="D104">
        <v>25</v>
      </c>
      <c r="E104">
        <v>20</v>
      </c>
      <c r="F104">
        <v>43</v>
      </c>
    </row>
    <row r="105" spans="1:7" x14ac:dyDescent="0.2">
      <c r="A105" t="s">
        <v>53</v>
      </c>
      <c r="B105" t="s">
        <v>9</v>
      </c>
      <c r="C105">
        <v>26</v>
      </c>
      <c r="D105">
        <v>35</v>
      </c>
      <c r="E105">
        <v>72</v>
      </c>
      <c r="F105">
        <v>171</v>
      </c>
    </row>
    <row r="106" spans="1:7" x14ac:dyDescent="0.2">
      <c r="A106" t="s">
        <v>53</v>
      </c>
      <c r="B106" t="s">
        <v>9</v>
      </c>
      <c r="C106">
        <v>36</v>
      </c>
      <c r="D106" t="s">
        <v>85</v>
      </c>
      <c r="E106">
        <v>21</v>
      </c>
      <c r="F106">
        <v>40</v>
      </c>
    </row>
    <row r="107" spans="1:7" x14ac:dyDescent="0.2">
      <c r="A107" s="4" t="s">
        <v>54</v>
      </c>
      <c r="B107" t="s">
        <v>10</v>
      </c>
      <c r="C107">
        <v>15</v>
      </c>
      <c r="D107">
        <v>20</v>
      </c>
      <c r="E107" s="3">
        <f>F107*0.023</f>
        <v>0.73599999999999999</v>
      </c>
      <c r="F107">
        <v>32</v>
      </c>
    </row>
    <row r="108" spans="1:7" x14ac:dyDescent="0.2">
      <c r="A108" t="s">
        <v>54</v>
      </c>
      <c r="B108" t="s">
        <v>10</v>
      </c>
      <c r="C108">
        <v>21</v>
      </c>
      <c r="D108">
        <v>25</v>
      </c>
      <c r="E108" s="3">
        <f>F108*0.147</f>
        <v>29.693999999999999</v>
      </c>
      <c r="F108">
        <v>202</v>
      </c>
    </row>
    <row r="109" spans="1:7" x14ac:dyDescent="0.2">
      <c r="A109" t="s">
        <v>54</v>
      </c>
      <c r="B109" t="s">
        <v>10</v>
      </c>
      <c r="C109">
        <v>26</v>
      </c>
      <c r="D109">
        <v>30</v>
      </c>
      <c r="E109" s="3">
        <f>F109*0.269</f>
        <v>99.26100000000001</v>
      </c>
      <c r="F109">
        <v>369</v>
      </c>
    </row>
    <row r="110" spans="1:7" x14ac:dyDescent="0.2">
      <c r="A110" t="s">
        <v>54</v>
      </c>
      <c r="B110" t="s">
        <v>10</v>
      </c>
      <c r="C110">
        <v>31</v>
      </c>
      <c r="D110">
        <v>35</v>
      </c>
      <c r="E110" s="3">
        <f>F110*0.248</f>
        <v>84.072000000000003</v>
      </c>
      <c r="F110">
        <v>339</v>
      </c>
    </row>
    <row r="111" spans="1:7" x14ac:dyDescent="0.2">
      <c r="A111" t="s">
        <v>54</v>
      </c>
      <c r="B111" t="s">
        <v>10</v>
      </c>
      <c r="C111">
        <v>36</v>
      </c>
      <c r="D111">
        <v>40</v>
      </c>
      <c r="E111" s="3">
        <f>F111*0.209</f>
        <v>59.774000000000001</v>
      </c>
      <c r="F111">
        <v>286</v>
      </c>
    </row>
    <row r="112" spans="1:7" x14ac:dyDescent="0.2">
      <c r="A112" t="s">
        <v>54</v>
      </c>
      <c r="B112" t="s">
        <v>10</v>
      </c>
      <c r="C112">
        <v>41</v>
      </c>
      <c r="D112">
        <v>45</v>
      </c>
      <c r="E112" s="3">
        <f>F112*0.081</f>
        <v>9.072000000000001</v>
      </c>
      <c r="F112">
        <v>112</v>
      </c>
    </row>
    <row r="113" spans="1:6" x14ac:dyDescent="0.2">
      <c r="A113" t="s">
        <v>54</v>
      </c>
      <c r="B113" t="s">
        <v>10</v>
      </c>
      <c r="C113">
        <v>46</v>
      </c>
      <c r="D113">
        <v>50</v>
      </c>
      <c r="E113" s="3">
        <f>F113*0.019</f>
        <v>0.51300000000000001</v>
      </c>
      <c r="F113">
        <v>27</v>
      </c>
    </row>
    <row r="114" spans="1:6" x14ac:dyDescent="0.2">
      <c r="A114" t="s">
        <v>55</v>
      </c>
      <c r="B114" t="s">
        <v>19</v>
      </c>
      <c r="C114">
        <v>13</v>
      </c>
      <c r="D114">
        <v>17</v>
      </c>
      <c r="E114">
        <v>129</v>
      </c>
      <c r="F114">
        <v>265</v>
      </c>
    </row>
    <row r="115" spans="1:6" x14ac:dyDescent="0.2">
      <c r="A115" t="s">
        <v>55</v>
      </c>
      <c r="B115" t="s">
        <v>19</v>
      </c>
      <c r="C115">
        <v>18</v>
      </c>
      <c r="D115">
        <v>24</v>
      </c>
      <c r="E115">
        <v>132</v>
      </c>
      <c r="F115">
        <v>300</v>
      </c>
    </row>
    <row r="116" spans="1:6" x14ac:dyDescent="0.2">
      <c r="A116" t="s">
        <v>55</v>
      </c>
      <c r="B116" t="s">
        <v>19</v>
      </c>
      <c r="C116">
        <v>25</v>
      </c>
      <c r="D116">
        <v>44</v>
      </c>
      <c r="E116">
        <v>155</v>
      </c>
      <c r="F116">
        <v>408</v>
      </c>
    </row>
    <row r="117" spans="1:6" x14ac:dyDescent="0.2">
      <c r="A117" t="s">
        <v>56</v>
      </c>
      <c r="B117" t="s">
        <v>17</v>
      </c>
      <c r="C117" t="s">
        <v>85</v>
      </c>
      <c r="D117">
        <v>25</v>
      </c>
      <c r="E117">
        <v>102</v>
      </c>
      <c r="F117">
        <v>347</v>
      </c>
    </row>
    <row r="118" spans="1:6" x14ac:dyDescent="0.2">
      <c r="A118" t="s">
        <v>56</v>
      </c>
      <c r="B118" t="s">
        <v>17</v>
      </c>
      <c r="C118">
        <v>26</v>
      </c>
      <c r="D118" t="s">
        <v>85</v>
      </c>
      <c r="E118">
        <v>107</v>
      </c>
      <c r="F118">
        <v>346</v>
      </c>
    </row>
    <row r="119" spans="1:6" x14ac:dyDescent="0.2">
      <c r="A119" t="s">
        <v>57</v>
      </c>
      <c r="B119" t="s">
        <v>20</v>
      </c>
      <c r="C119">
        <v>15</v>
      </c>
      <c r="D119">
        <v>24</v>
      </c>
      <c r="E119" s="3">
        <f>F119*0.117</f>
        <v>9.0090000000000003</v>
      </c>
      <c r="F119">
        <v>77</v>
      </c>
    </row>
    <row r="120" spans="1:6" x14ac:dyDescent="0.2">
      <c r="A120" t="s">
        <v>57</v>
      </c>
      <c r="B120" t="s">
        <v>20</v>
      </c>
      <c r="C120">
        <v>25</v>
      </c>
      <c r="D120">
        <v>34</v>
      </c>
      <c r="E120" s="3">
        <f>F120*0.0408</f>
        <v>9.9960000000000004</v>
      </c>
      <c r="F120">
        <v>245</v>
      </c>
    </row>
    <row r="121" spans="1:6" x14ac:dyDescent="0.2">
      <c r="A121" t="s">
        <v>57</v>
      </c>
      <c r="B121" t="s">
        <v>20</v>
      </c>
      <c r="C121">
        <v>35</v>
      </c>
      <c r="D121">
        <v>49</v>
      </c>
      <c r="E121" s="3">
        <f>F121*0.0562</f>
        <v>5.0018000000000002</v>
      </c>
      <c r="F121">
        <v>89</v>
      </c>
    </row>
    <row r="122" spans="1:6" x14ac:dyDescent="0.2">
      <c r="A122" t="s">
        <v>58</v>
      </c>
      <c r="B122" t="s">
        <v>7</v>
      </c>
      <c r="C122">
        <v>15</v>
      </c>
      <c r="D122">
        <v>19</v>
      </c>
      <c r="E122" s="3">
        <v>74</v>
      </c>
      <c r="F122">
        <v>140</v>
      </c>
    </row>
    <row r="123" spans="1:6" x14ac:dyDescent="0.2">
      <c r="A123" t="s">
        <v>58</v>
      </c>
      <c r="B123" t="s">
        <v>7</v>
      </c>
      <c r="C123">
        <v>20</v>
      </c>
      <c r="D123">
        <v>39</v>
      </c>
      <c r="E123" s="3">
        <v>29</v>
      </c>
      <c r="F123">
        <v>150</v>
      </c>
    </row>
    <row r="124" spans="1:6" x14ac:dyDescent="0.2">
      <c r="A124" t="s">
        <v>58</v>
      </c>
      <c r="B124" t="s">
        <v>7</v>
      </c>
      <c r="C124">
        <v>40</v>
      </c>
      <c r="D124">
        <v>49</v>
      </c>
      <c r="E124">
        <v>9</v>
      </c>
      <c r="F124">
        <v>110</v>
      </c>
    </row>
    <row r="125" spans="1:6" x14ac:dyDescent="0.2">
      <c r="A125" t="s">
        <v>59</v>
      </c>
      <c r="B125" t="s">
        <v>21</v>
      </c>
      <c r="C125">
        <v>18</v>
      </c>
      <c r="D125">
        <v>25</v>
      </c>
      <c r="E125" s="3">
        <v>18</v>
      </c>
      <c r="F125">
        <v>156</v>
      </c>
    </row>
    <row r="126" spans="1:6" x14ac:dyDescent="0.2">
      <c r="A126" t="s">
        <v>59</v>
      </c>
      <c r="B126" t="s">
        <v>21</v>
      </c>
      <c r="C126">
        <v>26</v>
      </c>
      <c r="D126">
        <v>35</v>
      </c>
      <c r="E126" s="3">
        <v>23</v>
      </c>
      <c r="F126">
        <v>193</v>
      </c>
    </row>
    <row r="127" spans="1:6" x14ac:dyDescent="0.2">
      <c r="A127" t="s">
        <v>59</v>
      </c>
      <c r="B127" t="s">
        <v>21</v>
      </c>
      <c r="C127">
        <v>36</v>
      </c>
      <c r="D127">
        <v>45</v>
      </c>
      <c r="E127" s="3">
        <v>6</v>
      </c>
      <c r="F127">
        <v>35</v>
      </c>
    </row>
    <row r="128" spans="1:6" x14ac:dyDescent="0.2">
      <c r="A128" t="s">
        <v>60</v>
      </c>
      <c r="B128" t="s">
        <v>9</v>
      </c>
      <c r="C128">
        <v>18</v>
      </c>
      <c r="D128">
        <v>20</v>
      </c>
      <c r="E128" s="3">
        <v>2</v>
      </c>
      <c r="F128">
        <v>15</v>
      </c>
    </row>
    <row r="129" spans="1:6" x14ac:dyDescent="0.2">
      <c r="A129" t="s">
        <v>60</v>
      </c>
      <c r="B129" t="s">
        <v>9</v>
      </c>
      <c r="C129">
        <v>21</v>
      </c>
      <c r="D129">
        <v>35</v>
      </c>
      <c r="E129" s="3">
        <v>121</v>
      </c>
      <c r="F129">
        <v>295</v>
      </c>
    </row>
    <row r="130" spans="1:6" x14ac:dyDescent="0.2">
      <c r="A130" t="s">
        <v>60</v>
      </c>
      <c r="B130" t="s">
        <v>9</v>
      </c>
      <c r="C130">
        <v>36</v>
      </c>
      <c r="D130" t="s">
        <v>85</v>
      </c>
      <c r="E130" s="3">
        <v>18</v>
      </c>
      <c r="F130">
        <v>37</v>
      </c>
    </row>
    <row r="131" spans="1:6" x14ac:dyDescent="0.2">
      <c r="A131" t="s">
        <v>61</v>
      </c>
      <c r="B131" t="s">
        <v>22</v>
      </c>
      <c r="C131">
        <v>17</v>
      </c>
      <c r="D131">
        <v>19</v>
      </c>
      <c r="E131" s="3">
        <v>18</v>
      </c>
      <c r="F131">
        <v>55</v>
      </c>
    </row>
    <row r="132" spans="1:6" x14ac:dyDescent="0.2">
      <c r="A132" t="s">
        <v>61</v>
      </c>
      <c r="B132" t="s">
        <v>22</v>
      </c>
      <c r="C132">
        <v>20</v>
      </c>
      <c r="D132">
        <v>29</v>
      </c>
      <c r="E132" s="3">
        <v>68</v>
      </c>
      <c r="F132">
        <v>212</v>
      </c>
    </row>
    <row r="133" spans="1:6" x14ac:dyDescent="0.2">
      <c r="A133" t="s">
        <v>61</v>
      </c>
      <c r="B133" t="s">
        <v>22</v>
      </c>
      <c r="C133">
        <v>30</v>
      </c>
      <c r="D133" t="s">
        <v>85</v>
      </c>
      <c r="E133" s="3">
        <v>12</v>
      </c>
      <c r="F133">
        <v>34</v>
      </c>
    </row>
    <row r="134" spans="1:6" x14ac:dyDescent="0.2">
      <c r="A134" t="s">
        <v>62</v>
      </c>
      <c r="B134" t="s">
        <v>11</v>
      </c>
      <c r="C134">
        <v>15</v>
      </c>
      <c r="D134">
        <v>19</v>
      </c>
      <c r="E134" s="3">
        <v>25</v>
      </c>
      <c r="F134" s="3">
        <f>E134+36</f>
        <v>61</v>
      </c>
    </row>
    <row r="135" spans="1:6" x14ac:dyDescent="0.2">
      <c r="A135" t="s">
        <v>62</v>
      </c>
      <c r="B135" t="s">
        <v>11</v>
      </c>
      <c r="C135">
        <v>20</v>
      </c>
      <c r="D135">
        <v>34</v>
      </c>
      <c r="E135" s="3">
        <v>78</v>
      </c>
      <c r="F135" s="3">
        <f>E135+143</f>
        <v>221</v>
      </c>
    </row>
    <row r="136" spans="1:6" x14ac:dyDescent="0.2">
      <c r="A136" t="s">
        <v>62</v>
      </c>
      <c r="B136" t="s">
        <v>11</v>
      </c>
      <c r="C136">
        <v>35</v>
      </c>
      <c r="D136">
        <v>49</v>
      </c>
      <c r="E136" s="3">
        <v>2</v>
      </c>
      <c r="F136" s="3">
        <f>E136+17</f>
        <v>19</v>
      </c>
    </row>
    <row r="137" spans="1:6" x14ac:dyDescent="0.2">
      <c r="A137" t="s">
        <v>63</v>
      </c>
      <c r="B137" t="s">
        <v>11</v>
      </c>
      <c r="C137">
        <v>15</v>
      </c>
      <c r="D137">
        <v>19</v>
      </c>
      <c r="E137" s="3">
        <v>12</v>
      </c>
      <c r="F137">
        <v>16</v>
      </c>
    </row>
    <row r="138" spans="1:6" x14ac:dyDescent="0.2">
      <c r="A138" t="s">
        <v>63</v>
      </c>
      <c r="B138" t="s">
        <v>11</v>
      </c>
      <c r="C138">
        <v>20</v>
      </c>
      <c r="D138">
        <v>24</v>
      </c>
      <c r="E138" s="3">
        <v>59</v>
      </c>
      <c r="F138">
        <v>69</v>
      </c>
    </row>
    <row r="139" spans="1:6" x14ac:dyDescent="0.2">
      <c r="A139" t="s">
        <v>63</v>
      </c>
      <c r="B139" t="s">
        <v>11</v>
      </c>
      <c r="C139">
        <v>25</v>
      </c>
      <c r="D139">
        <v>29</v>
      </c>
      <c r="E139" s="3">
        <v>79</v>
      </c>
      <c r="F139">
        <v>101</v>
      </c>
    </row>
    <row r="140" spans="1:6" x14ac:dyDescent="0.2">
      <c r="A140" t="s">
        <v>63</v>
      </c>
      <c r="B140" t="s">
        <v>11</v>
      </c>
      <c r="C140">
        <v>30</v>
      </c>
      <c r="D140">
        <v>34</v>
      </c>
      <c r="E140" s="3">
        <v>24</v>
      </c>
      <c r="F140">
        <v>35</v>
      </c>
    </row>
    <row r="141" spans="1:6" x14ac:dyDescent="0.2">
      <c r="A141" t="s">
        <v>63</v>
      </c>
      <c r="B141" t="s">
        <v>11</v>
      </c>
      <c r="C141">
        <v>35</v>
      </c>
      <c r="D141">
        <v>39</v>
      </c>
      <c r="E141" s="3">
        <v>10</v>
      </c>
      <c r="F141">
        <v>11</v>
      </c>
    </row>
    <row r="142" spans="1:6" x14ac:dyDescent="0.2">
      <c r="A142" t="s">
        <v>64</v>
      </c>
      <c r="B142" t="s">
        <v>11</v>
      </c>
      <c r="C142">
        <v>15</v>
      </c>
      <c r="D142">
        <v>25</v>
      </c>
      <c r="E142" s="3">
        <v>47</v>
      </c>
      <c r="F142">
        <v>68</v>
      </c>
    </row>
    <row r="143" spans="1:6" x14ac:dyDescent="0.2">
      <c r="A143" t="s">
        <v>64</v>
      </c>
      <c r="B143" t="s">
        <v>11</v>
      </c>
      <c r="C143">
        <v>26</v>
      </c>
      <c r="D143">
        <v>35</v>
      </c>
      <c r="E143" s="3">
        <v>47</v>
      </c>
      <c r="F143">
        <v>65</v>
      </c>
    </row>
    <row r="144" spans="1:6" x14ac:dyDescent="0.2">
      <c r="A144" t="s">
        <v>64</v>
      </c>
      <c r="B144" t="s">
        <v>11</v>
      </c>
      <c r="C144">
        <v>36</v>
      </c>
      <c r="D144">
        <v>44</v>
      </c>
      <c r="E144" s="3">
        <v>65</v>
      </c>
      <c r="F144">
        <v>77</v>
      </c>
    </row>
    <row r="145" spans="1:6" x14ac:dyDescent="0.2">
      <c r="A145" t="s">
        <v>65</v>
      </c>
      <c r="B145" t="s">
        <v>12</v>
      </c>
      <c r="C145" t="s">
        <v>85</v>
      </c>
      <c r="D145" t="s">
        <v>85</v>
      </c>
      <c r="E145" t="s">
        <v>85</v>
      </c>
      <c r="F145" t="s">
        <v>85</v>
      </c>
    </row>
    <row r="146" spans="1:6" x14ac:dyDescent="0.2">
      <c r="A146" t="s">
        <v>66</v>
      </c>
      <c r="B146" t="s">
        <v>7</v>
      </c>
      <c r="C146">
        <v>15</v>
      </c>
      <c r="D146">
        <v>24</v>
      </c>
      <c r="E146" t="s">
        <v>85</v>
      </c>
      <c r="F146" t="s">
        <v>85</v>
      </c>
    </row>
    <row r="147" spans="1:6" x14ac:dyDescent="0.2">
      <c r="A147" t="s">
        <v>66</v>
      </c>
      <c r="B147" t="s">
        <v>7</v>
      </c>
      <c r="C147">
        <v>25</v>
      </c>
      <c r="D147">
        <v>34</v>
      </c>
      <c r="E147" t="s">
        <v>85</v>
      </c>
      <c r="F147" t="s">
        <v>85</v>
      </c>
    </row>
    <row r="148" spans="1:6" x14ac:dyDescent="0.2">
      <c r="A148" t="s">
        <v>66</v>
      </c>
      <c r="B148" t="s">
        <v>7</v>
      </c>
      <c r="C148">
        <v>35</v>
      </c>
      <c r="D148">
        <v>44</v>
      </c>
      <c r="E148" t="s">
        <v>85</v>
      </c>
      <c r="F148" t="s">
        <v>85</v>
      </c>
    </row>
    <row r="149" spans="1:6" x14ac:dyDescent="0.2">
      <c r="A149" t="s">
        <v>66</v>
      </c>
      <c r="B149" t="s">
        <v>7</v>
      </c>
      <c r="C149">
        <v>45</v>
      </c>
      <c r="D149">
        <v>54</v>
      </c>
      <c r="E149" t="s">
        <v>85</v>
      </c>
      <c r="F149" t="s">
        <v>85</v>
      </c>
    </row>
    <row r="150" spans="1:6" x14ac:dyDescent="0.2">
      <c r="A150" t="s">
        <v>67</v>
      </c>
      <c r="B150" t="s">
        <v>11</v>
      </c>
      <c r="C150">
        <v>16</v>
      </c>
      <c r="D150">
        <v>20</v>
      </c>
      <c r="E150">
        <v>64</v>
      </c>
      <c r="F150" s="3" t="s">
        <v>85</v>
      </c>
    </row>
    <row r="151" spans="1:6" x14ac:dyDescent="0.2">
      <c r="A151" t="s">
        <v>67</v>
      </c>
      <c r="B151" t="s">
        <v>11</v>
      </c>
      <c r="C151">
        <v>21</v>
      </c>
      <c r="D151">
        <v>30</v>
      </c>
      <c r="E151">
        <v>124</v>
      </c>
      <c r="F151" s="3" t="s">
        <v>85</v>
      </c>
    </row>
    <row r="152" spans="1:6" x14ac:dyDescent="0.2">
      <c r="A152" t="s">
        <v>67</v>
      </c>
      <c r="B152" t="s">
        <v>11</v>
      </c>
      <c r="C152">
        <v>31</v>
      </c>
      <c r="D152" t="s">
        <v>85</v>
      </c>
      <c r="E152">
        <v>10</v>
      </c>
      <c r="F152" s="3" t="s">
        <v>85</v>
      </c>
    </row>
    <row r="153" spans="1:6" x14ac:dyDescent="0.2">
      <c r="A153" t="s">
        <v>68</v>
      </c>
      <c r="B153" t="s">
        <v>12</v>
      </c>
      <c r="C153">
        <v>16</v>
      </c>
      <c r="D153">
        <v>44</v>
      </c>
      <c r="E153">
        <v>64</v>
      </c>
      <c r="F153">
        <v>125</v>
      </c>
    </row>
    <row r="154" spans="1:6" x14ac:dyDescent="0.2">
      <c r="A154" t="s">
        <v>69</v>
      </c>
      <c r="B154" t="s">
        <v>12</v>
      </c>
      <c r="C154">
        <v>18</v>
      </c>
      <c r="D154">
        <v>20</v>
      </c>
      <c r="E154">
        <v>1</v>
      </c>
      <c r="F154">
        <v>3</v>
      </c>
    </row>
    <row r="155" spans="1:6" x14ac:dyDescent="0.2">
      <c r="A155" t="s">
        <v>69</v>
      </c>
      <c r="B155" t="s">
        <v>12</v>
      </c>
      <c r="C155">
        <v>21</v>
      </c>
      <c r="D155">
        <v>25</v>
      </c>
      <c r="E155">
        <v>8</v>
      </c>
      <c r="F155">
        <v>24</v>
      </c>
    </row>
    <row r="156" spans="1:6" x14ac:dyDescent="0.2">
      <c r="A156" t="s">
        <v>69</v>
      </c>
      <c r="B156" t="s">
        <v>12</v>
      </c>
      <c r="C156">
        <v>26</v>
      </c>
      <c r="D156">
        <v>30</v>
      </c>
      <c r="E156">
        <v>9</v>
      </c>
      <c r="F156">
        <v>25</v>
      </c>
    </row>
    <row r="157" spans="1:6" x14ac:dyDescent="0.2">
      <c r="A157" t="s">
        <v>69</v>
      </c>
      <c r="B157" t="s">
        <v>12</v>
      </c>
      <c r="C157">
        <v>31</v>
      </c>
      <c r="D157">
        <v>35</v>
      </c>
      <c r="E157">
        <v>10</v>
      </c>
      <c r="F157">
        <v>26</v>
      </c>
    </row>
    <row r="158" spans="1:6" x14ac:dyDescent="0.2">
      <c r="A158" t="s">
        <v>69</v>
      </c>
      <c r="B158" t="s">
        <v>12</v>
      </c>
      <c r="C158">
        <v>36</v>
      </c>
      <c r="D158">
        <v>40</v>
      </c>
      <c r="E158">
        <v>5</v>
      </c>
      <c r="F158">
        <v>13</v>
      </c>
    </row>
    <row r="159" spans="1:6" x14ac:dyDescent="0.2">
      <c r="A159" t="s">
        <v>69</v>
      </c>
      <c r="B159" t="s">
        <v>12</v>
      </c>
      <c r="C159">
        <v>41</v>
      </c>
      <c r="D159">
        <v>45</v>
      </c>
      <c r="E159">
        <v>2</v>
      </c>
      <c r="F159">
        <v>2</v>
      </c>
    </row>
    <row r="160" spans="1:6" x14ac:dyDescent="0.2">
      <c r="A160" t="s">
        <v>70</v>
      </c>
      <c r="B160" t="s">
        <v>11</v>
      </c>
      <c r="C160">
        <v>15</v>
      </c>
      <c r="D160">
        <v>19</v>
      </c>
      <c r="E160">
        <v>1</v>
      </c>
      <c r="F160">
        <v>5</v>
      </c>
    </row>
    <row r="161" spans="1:7" x14ac:dyDescent="0.2">
      <c r="A161" t="s">
        <v>70</v>
      </c>
      <c r="B161" t="s">
        <v>11</v>
      </c>
      <c r="C161">
        <v>20</v>
      </c>
      <c r="D161">
        <v>24</v>
      </c>
      <c r="E161">
        <v>17</v>
      </c>
      <c r="F161">
        <v>108</v>
      </c>
    </row>
    <row r="162" spans="1:7" x14ac:dyDescent="0.2">
      <c r="A162" t="s">
        <v>70</v>
      </c>
      <c r="B162" t="s">
        <v>11</v>
      </c>
      <c r="C162">
        <v>25</v>
      </c>
      <c r="D162">
        <v>29</v>
      </c>
      <c r="E162">
        <v>34</v>
      </c>
      <c r="F162">
        <v>176</v>
      </c>
    </row>
    <row r="163" spans="1:7" x14ac:dyDescent="0.2">
      <c r="A163" t="s">
        <v>70</v>
      </c>
      <c r="B163" t="s">
        <v>11</v>
      </c>
      <c r="C163">
        <v>30</v>
      </c>
      <c r="D163">
        <v>34</v>
      </c>
      <c r="E163">
        <v>8</v>
      </c>
      <c r="F163">
        <v>62</v>
      </c>
    </row>
    <row r="164" spans="1:7" x14ac:dyDescent="0.2">
      <c r="A164" t="s">
        <v>70</v>
      </c>
      <c r="B164" t="s">
        <v>11</v>
      </c>
      <c r="C164">
        <v>35</v>
      </c>
      <c r="D164">
        <v>39</v>
      </c>
      <c r="E164">
        <v>6</v>
      </c>
      <c r="F164">
        <v>26</v>
      </c>
    </row>
    <row r="165" spans="1:7" x14ac:dyDescent="0.2">
      <c r="A165" t="s">
        <v>70</v>
      </c>
      <c r="B165" t="s">
        <v>11</v>
      </c>
      <c r="C165">
        <v>40</v>
      </c>
      <c r="D165">
        <v>44</v>
      </c>
      <c r="E165">
        <v>5</v>
      </c>
      <c r="F165">
        <v>7</v>
      </c>
    </row>
    <row r="166" spans="1:7" x14ac:dyDescent="0.2">
      <c r="A166" t="s">
        <v>71</v>
      </c>
      <c r="B166" t="s">
        <v>7</v>
      </c>
      <c r="C166">
        <v>18</v>
      </c>
      <c r="D166">
        <v>20</v>
      </c>
      <c r="E166" t="s">
        <v>85</v>
      </c>
      <c r="F166">
        <v>60</v>
      </c>
    </row>
    <row r="167" spans="1:7" x14ac:dyDescent="0.2">
      <c r="A167" t="s">
        <v>71</v>
      </c>
      <c r="B167" t="s">
        <v>7</v>
      </c>
      <c r="C167">
        <v>21</v>
      </c>
      <c r="D167">
        <v>25</v>
      </c>
      <c r="E167" t="s">
        <v>85</v>
      </c>
      <c r="F167">
        <v>104</v>
      </c>
      <c r="G167" t="s">
        <v>88</v>
      </c>
    </row>
    <row r="168" spans="1:7" x14ac:dyDescent="0.2">
      <c r="A168" t="s">
        <v>71</v>
      </c>
      <c r="B168" t="s">
        <v>7</v>
      </c>
      <c r="C168">
        <v>26</v>
      </c>
      <c r="D168">
        <v>30</v>
      </c>
      <c r="E168" t="s">
        <v>85</v>
      </c>
      <c r="F168">
        <v>92</v>
      </c>
    </row>
    <row r="169" spans="1:7" x14ac:dyDescent="0.2">
      <c r="A169" t="s">
        <v>71</v>
      </c>
      <c r="B169" t="s">
        <v>7</v>
      </c>
      <c r="C169">
        <v>31</v>
      </c>
      <c r="D169">
        <v>40</v>
      </c>
      <c r="E169" t="s">
        <v>85</v>
      </c>
      <c r="F169">
        <v>104</v>
      </c>
    </row>
    <row r="170" spans="1:7" x14ac:dyDescent="0.2">
      <c r="A170" t="s">
        <v>72</v>
      </c>
      <c r="B170" t="s">
        <v>11</v>
      </c>
      <c r="C170">
        <v>15</v>
      </c>
      <c r="D170">
        <v>24</v>
      </c>
      <c r="E170">
        <v>34</v>
      </c>
      <c r="F170">
        <v>42</v>
      </c>
    </row>
    <row r="171" spans="1:7" x14ac:dyDescent="0.2">
      <c r="A171" t="s">
        <v>72</v>
      </c>
      <c r="B171" t="s">
        <v>11</v>
      </c>
      <c r="C171">
        <v>25</v>
      </c>
      <c r="D171">
        <v>34</v>
      </c>
      <c r="E171">
        <v>186</v>
      </c>
      <c r="F171">
        <v>218</v>
      </c>
    </row>
    <row r="172" spans="1:7" x14ac:dyDescent="0.2">
      <c r="A172" t="s">
        <v>72</v>
      </c>
      <c r="B172" t="s">
        <v>11</v>
      </c>
      <c r="C172">
        <v>35</v>
      </c>
      <c r="D172">
        <v>42</v>
      </c>
      <c r="E172">
        <v>26</v>
      </c>
      <c r="F172">
        <v>28</v>
      </c>
    </row>
    <row r="173" spans="1:7" x14ac:dyDescent="0.2">
      <c r="A173" t="s">
        <v>73</v>
      </c>
      <c r="B173" t="s">
        <v>11</v>
      </c>
      <c r="C173">
        <v>16</v>
      </c>
      <c r="D173">
        <v>20</v>
      </c>
      <c r="E173">
        <v>16</v>
      </c>
      <c r="F173">
        <v>32</v>
      </c>
    </row>
    <row r="174" spans="1:7" x14ac:dyDescent="0.2">
      <c r="A174" t="s">
        <v>73</v>
      </c>
      <c r="B174" t="s">
        <v>11</v>
      </c>
      <c r="C174">
        <v>21</v>
      </c>
      <c r="D174">
        <v>25</v>
      </c>
      <c r="E174">
        <v>25</v>
      </c>
      <c r="F174">
        <v>50</v>
      </c>
    </row>
    <row r="175" spans="1:7" x14ac:dyDescent="0.2">
      <c r="A175" t="s">
        <v>73</v>
      </c>
      <c r="B175" t="s">
        <v>11</v>
      </c>
      <c r="C175">
        <v>26</v>
      </c>
      <c r="D175">
        <v>30</v>
      </c>
      <c r="E175">
        <v>41</v>
      </c>
      <c r="F175">
        <v>67</v>
      </c>
    </row>
    <row r="176" spans="1:7" x14ac:dyDescent="0.2">
      <c r="A176" t="s">
        <v>73</v>
      </c>
      <c r="B176" t="s">
        <v>11</v>
      </c>
      <c r="C176">
        <v>31</v>
      </c>
      <c r="D176">
        <v>35</v>
      </c>
      <c r="E176">
        <v>54</v>
      </c>
      <c r="F176">
        <v>63</v>
      </c>
    </row>
    <row r="177" spans="1:6" x14ac:dyDescent="0.2">
      <c r="A177" t="s">
        <v>73</v>
      </c>
      <c r="B177" t="s">
        <v>11</v>
      </c>
      <c r="C177">
        <v>36</v>
      </c>
      <c r="D177">
        <v>44</v>
      </c>
      <c r="E177">
        <v>44</v>
      </c>
      <c r="F177">
        <v>51</v>
      </c>
    </row>
    <row r="178" spans="1:6" x14ac:dyDescent="0.2">
      <c r="A178" t="s">
        <v>29</v>
      </c>
      <c r="B178" t="s">
        <v>9</v>
      </c>
      <c r="C178" t="s">
        <v>85</v>
      </c>
      <c r="D178">
        <v>29</v>
      </c>
      <c r="E178">
        <v>34</v>
      </c>
      <c r="F178">
        <f>E178+31</f>
        <v>65</v>
      </c>
    </row>
    <row r="179" spans="1:6" x14ac:dyDescent="0.2">
      <c r="A179" t="s">
        <v>29</v>
      </c>
      <c r="B179" t="s">
        <v>9</v>
      </c>
      <c r="C179">
        <v>30</v>
      </c>
      <c r="D179" t="s">
        <v>85</v>
      </c>
      <c r="E179">
        <v>26</v>
      </c>
      <c r="F179">
        <f>E179+53</f>
        <v>79</v>
      </c>
    </row>
    <row r="180" spans="1:6" x14ac:dyDescent="0.2">
      <c r="A180" t="s">
        <v>74</v>
      </c>
      <c r="B180" t="s">
        <v>23</v>
      </c>
      <c r="C180" t="s">
        <v>85</v>
      </c>
      <c r="D180" t="s">
        <v>85</v>
      </c>
      <c r="E180" t="s">
        <v>85</v>
      </c>
      <c r="F180" t="s">
        <v>85</v>
      </c>
    </row>
    <row r="181" spans="1:6" x14ac:dyDescent="0.2">
      <c r="A181" t="s">
        <v>75</v>
      </c>
      <c r="B181" t="s">
        <v>11</v>
      </c>
      <c r="C181" t="s">
        <v>85</v>
      </c>
      <c r="D181">
        <v>30</v>
      </c>
      <c r="E181">
        <v>293</v>
      </c>
      <c r="F181">
        <v>333</v>
      </c>
    </row>
    <row r="182" spans="1:6" x14ac:dyDescent="0.2">
      <c r="A182" t="s">
        <v>75</v>
      </c>
      <c r="B182" t="s">
        <v>11</v>
      </c>
      <c r="C182">
        <v>31</v>
      </c>
      <c r="D182" t="s">
        <v>85</v>
      </c>
      <c r="E182">
        <v>48</v>
      </c>
      <c r="F182">
        <v>52</v>
      </c>
    </row>
    <row r="183" spans="1:6" x14ac:dyDescent="0.2">
      <c r="A183" t="s">
        <v>76</v>
      </c>
      <c r="B183" t="s">
        <v>22</v>
      </c>
      <c r="C183">
        <v>17</v>
      </c>
      <c r="D183">
        <v>19</v>
      </c>
      <c r="E183">
        <v>25</v>
      </c>
      <c r="F183">
        <v>59</v>
      </c>
    </row>
    <row r="184" spans="1:6" x14ac:dyDescent="0.2">
      <c r="A184" t="s">
        <v>76</v>
      </c>
      <c r="B184" t="s">
        <v>22</v>
      </c>
      <c r="C184">
        <v>20</v>
      </c>
      <c r="D184">
        <v>25</v>
      </c>
      <c r="E184">
        <v>49</v>
      </c>
      <c r="F184">
        <v>141</v>
      </c>
    </row>
    <row r="185" spans="1:6" x14ac:dyDescent="0.2">
      <c r="A185" t="s">
        <v>76</v>
      </c>
      <c r="B185" t="s">
        <v>22</v>
      </c>
      <c r="C185">
        <v>26</v>
      </c>
      <c r="D185">
        <v>47</v>
      </c>
      <c r="E185">
        <v>47</v>
      </c>
      <c r="F185">
        <v>148</v>
      </c>
    </row>
    <row r="186" spans="1:6" x14ac:dyDescent="0.2">
      <c r="A186" t="s">
        <v>30</v>
      </c>
      <c r="B186" t="s">
        <v>18</v>
      </c>
      <c r="C186" t="s">
        <v>85</v>
      </c>
      <c r="D186">
        <v>20</v>
      </c>
      <c r="E186">
        <v>29</v>
      </c>
      <c r="F186" t="s">
        <v>85</v>
      </c>
    </row>
    <row r="187" spans="1:6" x14ac:dyDescent="0.2">
      <c r="A187" t="s">
        <v>30</v>
      </c>
      <c r="B187" t="s">
        <v>18</v>
      </c>
      <c r="C187">
        <v>21</v>
      </c>
      <c r="D187">
        <v>29</v>
      </c>
      <c r="E187">
        <v>44</v>
      </c>
      <c r="F187" t="s">
        <v>85</v>
      </c>
    </row>
    <row r="188" spans="1:6" x14ac:dyDescent="0.2">
      <c r="A188" t="s">
        <v>30</v>
      </c>
      <c r="B188" t="s">
        <v>18</v>
      </c>
      <c r="C188">
        <v>30</v>
      </c>
      <c r="D188">
        <v>39</v>
      </c>
      <c r="E188">
        <v>33</v>
      </c>
      <c r="F188" t="s">
        <v>85</v>
      </c>
    </row>
    <row r="189" spans="1:6" x14ac:dyDescent="0.2">
      <c r="A189" t="s">
        <v>30</v>
      </c>
      <c r="B189" t="s">
        <v>18</v>
      </c>
      <c r="C189">
        <v>40</v>
      </c>
      <c r="D189">
        <v>49</v>
      </c>
      <c r="E189">
        <v>24</v>
      </c>
      <c r="F189" t="s">
        <v>85</v>
      </c>
    </row>
    <row r="190" spans="1:6" x14ac:dyDescent="0.2">
      <c r="A190" t="s">
        <v>77</v>
      </c>
      <c r="B190" t="s">
        <v>7</v>
      </c>
      <c r="C190">
        <v>15</v>
      </c>
      <c r="D190">
        <v>19</v>
      </c>
      <c r="E190">
        <v>4</v>
      </c>
      <c r="F190">
        <v>16</v>
      </c>
    </row>
    <row r="191" spans="1:6" x14ac:dyDescent="0.2">
      <c r="A191" t="s">
        <v>77</v>
      </c>
      <c r="B191" t="s">
        <v>7</v>
      </c>
      <c r="C191">
        <v>20</v>
      </c>
      <c r="D191">
        <v>24</v>
      </c>
      <c r="E191">
        <v>8</v>
      </c>
      <c r="F191">
        <v>45</v>
      </c>
    </row>
    <row r="192" spans="1:6" x14ac:dyDescent="0.2">
      <c r="A192" t="s">
        <v>77</v>
      </c>
      <c r="B192" t="s">
        <v>7</v>
      </c>
      <c r="C192">
        <v>25</v>
      </c>
      <c r="D192">
        <v>29</v>
      </c>
      <c r="E192">
        <v>3</v>
      </c>
      <c r="F192">
        <v>9</v>
      </c>
    </row>
    <row r="193" spans="1:7" x14ac:dyDescent="0.2">
      <c r="A193" t="s">
        <v>77</v>
      </c>
      <c r="B193" t="s">
        <v>7</v>
      </c>
      <c r="C193">
        <v>30</v>
      </c>
      <c r="D193">
        <v>34</v>
      </c>
      <c r="E193">
        <v>4</v>
      </c>
      <c r="F193">
        <v>17</v>
      </c>
    </row>
    <row r="194" spans="1:7" x14ac:dyDescent="0.2">
      <c r="A194" t="s">
        <v>77</v>
      </c>
      <c r="B194" t="s">
        <v>7</v>
      </c>
      <c r="C194">
        <v>35</v>
      </c>
      <c r="D194" t="s">
        <v>85</v>
      </c>
      <c r="E194">
        <v>1</v>
      </c>
      <c r="F194">
        <v>3</v>
      </c>
    </row>
    <row r="195" spans="1:7" x14ac:dyDescent="0.2">
      <c r="A195" t="s">
        <v>78</v>
      </c>
      <c r="B195" t="s">
        <v>9</v>
      </c>
      <c r="C195">
        <v>15</v>
      </c>
      <c r="D195">
        <v>24</v>
      </c>
      <c r="E195">
        <v>38</v>
      </c>
      <c r="F195">
        <v>174</v>
      </c>
    </row>
    <row r="196" spans="1:7" x14ac:dyDescent="0.2">
      <c r="A196" t="s">
        <v>78</v>
      </c>
      <c r="B196" t="s">
        <v>9</v>
      </c>
      <c r="C196">
        <v>25</v>
      </c>
      <c r="D196">
        <v>34</v>
      </c>
      <c r="E196">
        <v>61</v>
      </c>
      <c r="F196">
        <v>152</v>
      </c>
    </row>
    <row r="197" spans="1:7" x14ac:dyDescent="0.2">
      <c r="A197" t="s">
        <v>78</v>
      </c>
      <c r="B197" t="s">
        <v>9</v>
      </c>
      <c r="C197">
        <v>35</v>
      </c>
      <c r="D197">
        <v>44</v>
      </c>
      <c r="E197">
        <v>10</v>
      </c>
      <c r="F197">
        <v>24</v>
      </c>
    </row>
    <row r="198" spans="1:7" x14ac:dyDescent="0.2">
      <c r="A198" t="s">
        <v>79</v>
      </c>
      <c r="B198" t="s">
        <v>17</v>
      </c>
      <c r="C198">
        <v>19</v>
      </c>
      <c r="D198">
        <v>29</v>
      </c>
      <c r="E198">
        <v>134</v>
      </c>
      <c r="F198">
        <v>228</v>
      </c>
    </row>
    <row r="199" spans="1:7" x14ac:dyDescent="0.2">
      <c r="A199" t="s">
        <v>79</v>
      </c>
      <c r="B199" t="s">
        <v>17</v>
      </c>
      <c r="C199">
        <v>30</v>
      </c>
      <c r="D199">
        <v>39</v>
      </c>
      <c r="E199">
        <v>84</v>
      </c>
      <c r="F199">
        <v>95</v>
      </c>
    </row>
    <row r="200" spans="1:7" x14ac:dyDescent="0.2">
      <c r="A200" t="s">
        <v>80</v>
      </c>
      <c r="B200" t="s">
        <v>11</v>
      </c>
      <c r="C200">
        <v>15</v>
      </c>
      <c r="D200">
        <v>19</v>
      </c>
      <c r="E200">
        <v>16</v>
      </c>
      <c r="F200">
        <v>25</v>
      </c>
    </row>
    <row r="201" spans="1:7" x14ac:dyDescent="0.2">
      <c r="A201" t="s">
        <v>80</v>
      </c>
      <c r="B201" t="s">
        <v>11</v>
      </c>
      <c r="C201">
        <v>20</v>
      </c>
      <c r="D201">
        <v>24</v>
      </c>
      <c r="E201">
        <v>81</v>
      </c>
      <c r="F201">
        <v>97</v>
      </c>
    </row>
    <row r="202" spans="1:7" x14ac:dyDescent="0.2">
      <c r="A202" t="s">
        <v>80</v>
      </c>
      <c r="B202" t="s">
        <v>11</v>
      </c>
      <c r="C202">
        <v>25</v>
      </c>
      <c r="D202">
        <v>29</v>
      </c>
      <c r="E202">
        <v>55</v>
      </c>
      <c r="F202">
        <v>62</v>
      </c>
    </row>
    <row r="203" spans="1:7" x14ac:dyDescent="0.2">
      <c r="A203" t="s">
        <v>80</v>
      </c>
      <c r="B203" t="s">
        <v>11</v>
      </c>
      <c r="C203">
        <v>30</v>
      </c>
      <c r="D203">
        <v>35</v>
      </c>
      <c r="E203">
        <v>16</v>
      </c>
      <c r="F203">
        <v>17</v>
      </c>
    </row>
    <row r="204" spans="1:7" x14ac:dyDescent="0.2">
      <c r="A204" t="s">
        <v>81</v>
      </c>
      <c r="B204" t="s">
        <v>22</v>
      </c>
      <c r="C204">
        <v>18</v>
      </c>
      <c r="D204">
        <v>25</v>
      </c>
      <c r="E204" t="s">
        <v>85</v>
      </c>
      <c r="F204">
        <v>29</v>
      </c>
    </row>
    <row r="205" spans="1:7" x14ac:dyDescent="0.2">
      <c r="A205" t="s">
        <v>81</v>
      </c>
      <c r="B205" t="s">
        <v>22</v>
      </c>
      <c r="C205">
        <v>26</v>
      </c>
      <c r="D205">
        <v>35</v>
      </c>
      <c r="E205" t="s">
        <v>85</v>
      </c>
      <c r="F205">
        <v>109</v>
      </c>
      <c r="G205" t="s">
        <v>88</v>
      </c>
    </row>
    <row r="206" spans="1:7" x14ac:dyDescent="0.2">
      <c r="A206" t="s">
        <v>81</v>
      </c>
      <c r="B206" t="s">
        <v>22</v>
      </c>
      <c r="C206">
        <v>36</v>
      </c>
      <c r="D206">
        <v>50</v>
      </c>
      <c r="E206" t="s">
        <v>85</v>
      </c>
      <c r="F206">
        <v>44</v>
      </c>
    </row>
    <row r="207" spans="1:7" x14ac:dyDescent="0.2">
      <c r="A207" t="s">
        <v>82</v>
      </c>
      <c r="B207" t="s">
        <v>18</v>
      </c>
      <c r="C207">
        <v>15</v>
      </c>
      <c r="D207">
        <v>24</v>
      </c>
      <c r="E207">
        <v>9</v>
      </c>
      <c r="F207">
        <v>43</v>
      </c>
    </row>
    <row r="208" spans="1:7" x14ac:dyDescent="0.2">
      <c r="A208" t="s">
        <v>82</v>
      </c>
      <c r="B208" t="s">
        <v>18</v>
      </c>
      <c r="C208">
        <v>25</v>
      </c>
      <c r="D208">
        <v>34</v>
      </c>
      <c r="E208">
        <v>41</v>
      </c>
      <c r="F208">
        <v>168</v>
      </c>
    </row>
    <row r="209" spans="1:6" x14ac:dyDescent="0.2">
      <c r="A209" t="s">
        <v>82</v>
      </c>
      <c r="B209" t="s">
        <v>18</v>
      </c>
      <c r="C209">
        <v>35</v>
      </c>
      <c r="D209">
        <v>39</v>
      </c>
      <c r="E209">
        <v>2</v>
      </c>
      <c r="F209">
        <v>13</v>
      </c>
    </row>
    <row r="210" spans="1:6" x14ac:dyDescent="0.2">
      <c r="A210" t="s">
        <v>82</v>
      </c>
      <c r="B210" t="s">
        <v>18</v>
      </c>
      <c r="C210">
        <v>40</v>
      </c>
      <c r="D210">
        <v>49</v>
      </c>
      <c r="E210">
        <v>1</v>
      </c>
      <c r="F210">
        <v>10</v>
      </c>
    </row>
    <row r="211" spans="1:6" x14ac:dyDescent="0.2">
      <c r="A211" t="s">
        <v>83</v>
      </c>
      <c r="B211" t="s">
        <v>16</v>
      </c>
      <c r="C211">
        <v>10</v>
      </c>
      <c r="D211">
        <v>19</v>
      </c>
      <c r="E211">
        <v>5</v>
      </c>
      <c r="F211">
        <v>8</v>
      </c>
    </row>
    <row r="212" spans="1:6" x14ac:dyDescent="0.2">
      <c r="A212" t="s">
        <v>83</v>
      </c>
      <c r="B212" t="s">
        <v>16</v>
      </c>
      <c r="C212">
        <v>20</v>
      </c>
      <c r="D212">
        <v>29</v>
      </c>
      <c r="E212">
        <v>40</v>
      </c>
      <c r="F212">
        <v>59</v>
      </c>
    </row>
    <row r="213" spans="1:6" x14ac:dyDescent="0.2">
      <c r="A213" t="s">
        <v>83</v>
      </c>
      <c r="B213" t="s">
        <v>16</v>
      </c>
      <c r="C213">
        <v>30</v>
      </c>
      <c r="D213">
        <v>39</v>
      </c>
      <c r="E213">
        <v>25</v>
      </c>
      <c r="F213">
        <v>40</v>
      </c>
    </row>
    <row r="214" spans="1:6" x14ac:dyDescent="0.2">
      <c r="A214" t="s">
        <v>83</v>
      </c>
      <c r="B214" t="s">
        <v>16</v>
      </c>
      <c r="C214">
        <v>40</v>
      </c>
      <c r="D214">
        <v>41</v>
      </c>
      <c r="E214">
        <v>2</v>
      </c>
      <c r="F214">
        <v>3</v>
      </c>
    </row>
    <row r="215" spans="1:6" x14ac:dyDescent="0.2">
      <c r="A215" t="s">
        <v>84</v>
      </c>
      <c r="B215" t="s">
        <v>24</v>
      </c>
      <c r="C215" t="s">
        <v>85</v>
      </c>
      <c r="D215" t="s">
        <v>85</v>
      </c>
      <c r="E215" t="s">
        <v>85</v>
      </c>
      <c r="F21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E Cheeks</dc:creator>
  <cp:lastModifiedBy>Devin E Cheeks</cp:lastModifiedBy>
  <dcterms:created xsi:type="dcterms:W3CDTF">2024-08-06T17:08:53Z</dcterms:created>
  <dcterms:modified xsi:type="dcterms:W3CDTF">2024-08-13T18:54:18Z</dcterms:modified>
</cp:coreProperties>
</file>